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baylor0-my.sharepoint.com/personal/nicholas_storti1_baylor_edu/Documents/Year 1 Summer/ELC 5319/Labs/Lab4/"/>
    </mc:Choice>
  </mc:AlternateContent>
  <xr:revisionPtr revIDLastSave="187" documentId="11_F25DC773A252ABDACC1048D4D1DC40305BDE58E8" xr6:coauthVersionLast="47" xr6:coauthVersionMax="47" xr10:uidLastSave="{36ACC347-32DC-4A46-9C83-184B08CEA61A}"/>
  <bookViews>
    <workbookView xWindow="-103" yWindow="-103" windowWidth="22149" windowHeight="13200" activeTab="1" xr2:uid="{00000000-000D-0000-FFFF-FFFF00000000}"/>
  </bookViews>
  <sheets>
    <sheet name="FLOPS" sheetId="1" r:id="rId1"/>
    <sheet name="Overhe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4" i="1"/>
  <c r="B3" i="2"/>
  <c r="B4" i="2"/>
  <c r="B5" i="2"/>
  <c r="B6" i="2"/>
  <c r="B7" i="2"/>
  <c r="B8" i="2"/>
  <c r="B9" i="2"/>
  <c r="B10" i="2"/>
  <c r="B2" i="2"/>
  <c r="D5" i="1"/>
  <c r="D6" i="1"/>
  <c r="D7" i="1"/>
  <c r="D8" i="1"/>
  <c r="D9" i="1"/>
  <c r="D10" i="1"/>
  <c r="D11" i="1"/>
  <c r="D12" i="1"/>
  <c r="D4" i="1"/>
  <c r="I3" i="2"/>
  <c r="I4" i="2"/>
  <c r="I5" i="2"/>
  <c r="I6" i="2"/>
  <c r="I7" i="2"/>
  <c r="I8" i="2"/>
  <c r="I9" i="2"/>
  <c r="I10" i="2"/>
  <c r="I2" i="2"/>
  <c r="H3" i="2"/>
  <c r="J3" i="2" s="1"/>
  <c r="H4" i="2"/>
  <c r="J4" i="2" s="1"/>
  <c r="H5" i="2"/>
  <c r="J5" i="2" s="1"/>
  <c r="H6" i="2"/>
  <c r="J6" i="2" s="1"/>
  <c r="H7" i="2"/>
  <c r="J7" i="2" s="1"/>
  <c r="H8" i="2"/>
  <c r="J8" i="2" s="1"/>
  <c r="H9" i="2"/>
  <c r="J9" i="2" s="1"/>
  <c r="H10" i="2"/>
  <c r="H2" i="2"/>
  <c r="J2" i="2" s="1"/>
  <c r="G3" i="2"/>
  <c r="G4" i="2"/>
  <c r="G5" i="2"/>
  <c r="G6" i="2"/>
  <c r="G7" i="2"/>
  <c r="G8" i="2"/>
  <c r="G9" i="2"/>
  <c r="G10" i="2"/>
  <c r="G2" i="2"/>
  <c r="J10" i="2" l="1"/>
</calcChain>
</file>

<file path=xl/sharedStrings.xml><?xml version="1.0" encoding="utf-8"?>
<sst xmlns="http://schemas.openxmlformats.org/spreadsheetml/2006/main" count="15" uniqueCount="15">
  <si>
    <t>Filter Width</t>
  </si>
  <si>
    <t>Image Size</t>
  </si>
  <si>
    <t>Execution Time (s)</t>
  </si>
  <si>
    <t>FLOPS</t>
  </si>
  <si>
    <t xml:space="preserve">Input Image Size </t>
  </si>
  <si>
    <t>Device Allocation Time (s)</t>
  </si>
  <si>
    <t>Copy from host to device time (s)</t>
  </si>
  <si>
    <t>Execution time (s)</t>
  </si>
  <si>
    <t>Copy from device to host time (s)</t>
  </si>
  <si>
    <t>Copy Time (s)</t>
  </si>
  <si>
    <t>Overhead Time (s)</t>
  </si>
  <si>
    <t>Total Time (s)</t>
  </si>
  <si>
    <t>Overhead Percentage</t>
  </si>
  <si>
    <t>Number of Pixels</t>
  </si>
  <si>
    <t>Number of pixels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</si>
</sst>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419072615923"/>
          <c:y val="4.3650793650793648E-2"/>
          <c:w val="0.75230314960629918"/>
          <c:h val="0.7786239220097488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FLOPS!$A$4:$A$12</c:f>
              <c:numCache>
                <c:formatCode>General</c:formatCode>
                <c:ptCount val="9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</c:numCache>
            </c:numRef>
          </c:xVal>
          <c:yVal>
            <c:numRef>
              <c:f>FLOPS!$D$4:$D$12</c:f>
              <c:numCache>
                <c:formatCode>General</c:formatCode>
                <c:ptCount val="9"/>
                <c:pt idx="0">
                  <c:v>312500000000</c:v>
                </c:pt>
                <c:pt idx="1">
                  <c:v>1063829787234.0426</c:v>
                </c:pt>
                <c:pt idx="2">
                  <c:v>2816901408450.7041</c:v>
                </c:pt>
                <c:pt idx="3">
                  <c:v>3913043478260.8696</c:v>
                </c:pt>
                <c:pt idx="4">
                  <c:v>4123711340206.1855</c:v>
                </c:pt>
                <c:pt idx="5">
                  <c:v>3918495297805.6426</c:v>
                </c:pt>
                <c:pt idx="6">
                  <c:v>3991130820399.1128</c:v>
                </c:pt>
                <c:pt idx="7">
                  <c:v>4056291390728.4766</c:v>
                </c:pt>
                <c:pt idx="8">
                  <c:v>4076433121019.1084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97-43EC-B566-CD35E0692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575968"/>
        <c:axId val="1730815504"/>
      </c:scatterChart>
      <c:valAx>
        <c:axId val="173957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Square Image Size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0815504"/>
        <c:crosses val="autoZero"/>
        <c:crossBetween val="midCat"/>
      </c:valAx>
      <c:valAx>
        <c:axId val="17308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Floating Point Ops/s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95759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58573928258969"/>
          <c:y val="4.3650793650793648E-2"/>
          <c:w val="0.71896981627296586"/>
          <c:h val="0.7786239220097488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FLOPS!$B$4:$B$12</c:f>
              <c:numCache>
                <c:formatCode>General</c:formatCode>
                <c:ptCount val="9"/>
                <c:pt idx="0">
                  <c:v>250000</c:v>
                </c:pt>
                <c:pt idx="1">
                  <c:v>1000000</c:v>
                </c:pt>
                <c:pt idx="2">
                  <c:v>4000000</c:v>
                </c:pt>
                <c:pt idx="3">
                  <c:v>9000000</c:v>
                </c:pt>
                <c:pt idx="4">
                  <c:v>16000000</c:v>
                </c:pt>
                <c:pt idx="5">
                  <c:v>25000000</c:v>
                </c:pt>
                <c:pt idx="6">
                  <c:v>36000000</c:v>
                </c:pt>
                <c:pt idx="7">
                  <c:v>49000000</c:v>
                </c:pt>
                <c:pt idx="8">
                  <c:v>64000000</c:v>
                </c:pt>
              </c:numCache>
            </c:numRef>
          </c:xVal>
          <c:yVal>
            <c:numRef>
              <c:f>FLOPS!$D$4:$D$12</c:f>
              <c:numCache>
                <c:formatCode>General</c:formatCode>
                <c:ptCount val="9"/>
                <c:pt idx="0">
                  <c:v>312500000000</c:v>
                </c:pt>
                <c:pt idx="1">
                  <c:v>1063829787234.0426</c:v>
                </c:pt>
                <c:pt idx="2">
                  <c:v>2816901408450.7041</c:v>
                </c:pt>
                <c:pt idx="3">
                  <c:v>3913043478260.8696</c:v>
                </c:pt>
                <c:pt idx="4">
                  <c:v>4123711340206.1855</c:v>
                </c:pt>
                <c:pt idx="5">
                  <c:v>3918495297805.6426</c:v>
                </c:pt>
                <c:pt idx="6">
                  <c:v>3991130820399.1128</c:v>
                </c:pt>
                <c:pt idx="7">
                  <c:v>4056291390728.4766</c:v>
                </c:pt>
                <c:pt idx="8">
                  <c:v>4076433121019.1084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13-4428-9CA0-CE3EBC4B8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575968"/>
        <c:axId val="1730815504"/>
      </c:scatterChart>
      <c:valAx>
        <c:axId val="173957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Input Image Pixels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0815504"/>
        <c:crosses val="autoZero"/>
        <c:crossBetween val="midCat"/>
      </c:valAx>
      <c:valAx>
        <c:axId val="17308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Floating Point Ops/s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95759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419072615923"/>
          <c:y val="5.5555555555555552E-2"/>
          <c:w val="0.75230314960629918"/>
          <c:h val="0.77862392200974884"/>
        </c:manualLayout>
      </c:layout>
      <c:scatterChart>
        <c:scatterStyle val="smoothMarker"/>
        <c:varyColors val="0"/>
        <c:ser>
          <c:idx val="0"/>
          <c:order val="0"/>
          <c:tx>
            <c:v>Host to Device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Overhead!$A$2:$A$10</c:f>
              <c:numCache>
                <c:formatCode>General</c:formatCode>
                <c:ptCount val="9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</c:numCache>
            </c:numRef>
          </c:xVal>
          <c:yVal>
            <c:numRef>
              <c:f>Overhead!$D$2:$D$10</c:f>
              <c:numCache>
                <c:formatCode>General</c:formatCode>
                <c:ptCount val="9"/>
                <c:pt idx="0">
                  <c:v>1.1336000000000001E-2</c:v>
                </c:pt>
                <c:pt idx="1">
                  <c:v>1.1464999999999999E-2</c:v>
                </c:pt>
                <c:pt idx="2">
                  <c:v>1.1998999999999999E-2</c:v>
                </c:pt>
                <c:pt idx="3">
                  <c:v>1.2885000000000001E-2</c:v>
                </c:pt>
                <c:pt idx="4">
                  <c:v>1.4097999999999999E-2</c:v>
                </c:pt>
                <c:pt idx="5">
                  <c:v>1.5973999999999999E-2</c:v>
                </c:pt>
                <c:pt idx="6">
                  <c:v>1.7801000000000001E-2</c:v>
                </c:pt>
                <c:pt idx="7">
                  <c:v>1.9887999999999999E-2</c:v>
                </c:pt>
                <c:pt idx="8">
                  <c:v>2.2349000000000001E-2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94-4F9D-9D26-B94E9E77BDF1}"/>
            </c:ext>
          </c:extLst>
        </c:ser>
        <c:ser>
          <c:idx val="1"/>
          <c:order val="1"/>
          <c:tx>
            <c:v>Device to Host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Overhead!$A$2:$A$10</c:f>
              <c:numCache>
                <c:formatCode>General</c:formatCode>
                <c:ptCount val="9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</c:numCache>
            </c:numRef>
          </c:xVal>
          <c:yVal>
            <c:numRef>
              <c:f>Overhead!$F$2:$F$10</c:f>
              <c:numCache>
                <c:formatCode>General</c:formatCode>
                <c:ptCount val="9"/>
                <c:pt idx="0">
                  <c:v>4.95E-4</c:v>
                </c:pt>
                <c:pt idx="1">
                  <c:v>1.1050000000000001E-3</c:v>
                </c:pt>
                <c:pt idx="2">
                  <c:v>2.336E-3</c:v>
                </c:pt>
                <c:pt idx="3">
                  <c:v>5.0220000000000004E-3</c:v>
                </c:pt>
                <c:pt idx="4">
                  <c:v>7.3309999999999998E-3</c:v>
                </c:pt>
                <c:pt idx="5">
                  <c:v>1.1310000000000001E-2</c:v>
                </c:pt>
                <c:pt idx="6">
                  <c:v>1.6059E-2</c:v>
                </c:pt>
                <c:pt idx="7">
                  <c:v>2.2223E-2</c:v>
                </c:pt>
                <c:pt idx="8">
                  <c:v>3.1572000000000003E-2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94-4F9D-9D26-B94E9E77B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575968"/>
        <c:axId val="1730815504"/>
      </c:scatterChart>
      <c:valAx>
        <c:axId val="173957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Square Image Size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0815504"/>
        <c:crosses val="autoZero"/>
        <c:crossBetween val="midCat"/>
      </c:valAx>
      <c:valAx>
        <c:axId val="17308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Copy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95759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90404636920385"/>
          <c:y val="8.7797150356205486E-2"/>
          <c:w val="0.26394444444444443"/>
          <c:h val="0.13332000356827556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419072615923"/>
          <c:y val="4.3650793650793648E-2"/>
          <c:w val="0.75230314960629918"/>
          <c:h val="0.77862392200974884"/>
        </c:manualLayout>
      </c:layout>
      <c:scatterChart>
        <c:scatterStyle val="smoothMarker"/>
        <c:varyColors val="0"/>
        <c:ser>
          <c:idx val="0"/>
          <c:order val="0"/>
          <c:tx>
            <c:v>Copy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Overhead!$A$2:$A$10</c:f>
              <c:numCache>
                <c:formatCode>General</c:formatCode>
                <c:ptCount val="9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</c:numCache>
            </c:numRef>
          </c:xVal>
          <c:yVal>
            <c:numRef>
              <c:f>Overhead!$G$2:$G$10</c:f>
              <c:numCache>
                <c:formatCode>General</c:formatCode>
                <c:ptCount val="9"/>
                <c:pt idx="0">
                  <c:v>1.1831000000000001E-2</c:v>
                </c:pt>
                <c:pt idx="1">
                  <c:v>1.257E-2</c:v>
                </c:pt>
                <c:pt idx="2">
                  <c:v>1.4334999999999999E-2</c:v>
                </c:pt>
                <c:pt idx="3">
                  <c:v>1.7906999999999999E-2</c:v>
                </c:pt>
                <c:pt idx="4">
                  <c:v>2.1429E-2</c:v>
                </c:pt>
                <c:pt idx="5">
                  <c:v>2.7283999999999999E-2</c:v>
                </c:pt>
                <c:pt idx="6">
                  <c:v>3.3860000000000001E-2</c:v>
                </c:pt>
                <c:pt idx="7">
                  <c:v>4.2110999999999996E-2</c:v>
                </c:pt>
                <c:pt idx="8">
                  <c:v>5.3921000000000004E-2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21-43EF-B1BA-7C7E74070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575968"/>
        <c:axId val="1730815504"/>
      </c:scatterChart>
      <c:valAx>
        <c:axId val="173957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Square Image Size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0815504"/>
        <c:crosses val="autoZero"/>
        <c:crossBetween val="midCat"/>
      </c:valAx>
      <c:valAx>
        <c:axId val="17308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Copy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95759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419072615923"/>
          <c:y val="4.3650793650793648E-2"/>
          <c:w val="0.75230314960629918"/>
          <c:h val="0.77862392200974884"/>
        </c:manualLayout>
      </c:layout>
      <c:scatterChart>
        <c:scatterStyle val="smoothMarker"/>
        <c:varyColors val="0"/>
        <c:ser>
          <c:idx val="0"/>
          <c:order val="0"/>
          <c:tx>
            <c:v>Device Allocation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Overhead!$A$2:$A$10</c:f>
              <c:numCache>
                <c:formatCode>General</c:formatCode>
                <c:ptCount val="9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</c:numCache>
            </c:numRef>
          </c:xVal>
          <c:yVal>
            <c:numRef>
              <c:f>Overhead!$C$2:$C$10</c:f>
              <c:numCache>
                <c:formatCode>General</c:formatCode>
                <c:ptCount val="9"/>
                <c:pt idx="0">
                  <c:v>0.14199999999999999</c:v>
                </c:pt>
                <c:pt idx="1">
                  <c:v>0.13650100000000001</c:v>
                </c:pt>
                <c:pt idx="2">
                  <c:v>0.142042</c:v>
                </c:pt>
                <c:pt idx="3">
                  <c:v>0.13675499999999999</c:v>
                </c:pt>
                <c:pt idx="4">
                  <c:v>0.14140800000000001</c:v>
                </c:pt>
                <c:pt idx="5">
                  <c:v>0.14291100000000001</c:v>
                </c:pt>
                <c:pt idx="6">
                  <c:v>0.14374300000000001</c:v>
                </c:pt>
                <c:pt idx="7">
                  <c:v>0.13719700000000001</c:v>
                </c:pt>
                <c:pt idx="8">
                  <c:v>0.14474600000000001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94-4C87-B54D-3403546D9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575968"/>
        <c:axId val="1730815504"/>
      </c:scatterChart>
      <c:valAx>
        <c:axId val="173957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Square Image Size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0815504"/>
        <c:crosses val="autoZero"/>
        <c:crossBetween val="midCat"/>
      </c:valAx>
      <c:valAx>
        <c:axId val="1730815504"/>
        <c:scaling>
          <c:orientation val="minMax"/>
          <c:max val="0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Device Allocation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95759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419072615923"/>
          <c:y val="4.3650793650793648E-2"/>
          <c:w val="0.75230314960629918"/>
          <c:h val="0.77862392200974884"/>
        </c:manualLayout>
      </c:layout>
      <c:scatterChart>
        <c:scatterStyle val="smoothMarker"/>
        <c:varyColors val="0"/>
        <c:ser>
          <c:idx val="0"/>
          <c:order val="0"/>
          <c:tx>
            <c:v>Overhead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Overhead!$A$2:$A$10</c:f>
              <c:numCache>
                <c:formatCode>General</c:formatCode>
                <c:ptCount val="9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</c:numCache>
            </c:numRef>
          </c:xVal>
          <c:yVal>
            <c:numRef>
              <c:f>Overhead!$H$2:$H$10</c:f>
              <c:numCache>
                <c:formatCode>General</c:formatCode>
                <c:ptCount val="9"/>
                <c:pt idx="0">
                  <c:v>0.153831</c:v>
                </c:pt>
                <c:pt idx="1">
                  <c:v>0.14907100000000001</c:v>
                </c:pt>
                <c:pt idx="2">
                  <c:v>0.15637700000000002</c:v>
                </c:pt>
                <c:pt idx="3">
                  <c:v>0.15466199999999999</c:v>
                </c:pt>
                <c:pt idx="4">
                  <c:v>0.16283700000000001</c:v>
                </c:pt>
                <c:pt idx="5">
                  <c:v>0.17019499999999999</c:v>
                </c:pt>
                <c:pt idx="6">
                  <c:v>0.17760300000000001</c:v>
                </c:pt>
                <c:pt idx="7">
                  <c:v>0.179308</c:v>
                </c:pt>
                <c:pt idx="8">
                  <c:v>0.19866700000000004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E-44D7-A71C-0A2A729E1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575968"/>
        <c:axId val="1730815504"/>
      </c:scatterChart>
      <c:valAx>
        <c:axId val="173957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Square Image Size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0815504"/>
        <c:crosses val="autoZero"/>
        <c:crossBetween val="midCat"/>
      </c:valAx>
      <c:valAx>
        <c:axId val="17308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Overhead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95759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97462817147857"/>
          <c:y val="4.3650793650793648E-2"/>
          <c:w val="0.77174759405074367"/>
          <c:h val="0.77862392200974884"/>
        </c:manualLayout>
      </c:layout>
      <c:scatterChart>
        <c:scatterStyle val="smoothMarker"/>
        <c:varyColors val="0"/>
        <c:ser>
          <c:idx val="0"/>
          <c:order val="0"/>
          <c:tx>
            <c:v>% Overhead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Overhead!$A$2:$A$10</c:f>
              <c:numCache>
                <c:formatCode>General</c:formatCode>
                <c:ptCount val="9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</c:numCache>
            </c:numRef>
          </c:xVal>
          <c:yVal>
            <c:numRef>
              <c:f>Overhead!$J$2:$J$10</c:f>
              <c:numCache>
                <c:formatCode>General</c:formatCode>
                <c:ptCount val="9"/>
                <c:pt idx="0">
                  <c:v>0.99974004198321964</c:v>
                </c:pt>
                <c:pt idx="1">
                  <c:v>0.99968481336927806</c:v>
                </c:pt>
                <c:pt idx="2">
                  <c:v>0.99954617508692989</c:v>
                </c:pt>
                <c:pt idx="3">
                  <c:v>0.99925699554843417</c:v>
                </c:pt>
                <c:pt idx="4">
                  <c:v>0.99881004226190107</c:v>
                </c:pt>
                <c:pt idx="5">
                  <c:v>0.99812918587330068</c:v>
                </c:pt>
                <c:pt idx="6">
                  <c:v>0.99746706055466317</c:v>
                </c:pt>
                <c:pt idx="7">
                  <c:v>0.99664280314820586</c:v>
                </c:pt>
                <c:pt idx="8">
                  <c:v>0.9960642159517078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D6-4430-8F02-1DE03DD8C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575968"/>
        <c:axId val="1730815504"/>
      </c:scatterChart>
      <c:valAx>
        <c:axId val="173957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Square Image Size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0815504"/>
        <c:crosses val="autoZero"/>
        <c:crossBetween val="midCat"/>
      </c:valAx>
      <c:valAx>
        <c:axId val="17308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% Overhead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95759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419072615923"/>
          <c:y val="4.3650793650793648E-2"/>
          <c:w val="0.75230314960629918"/>
          <c:h val="0.77862392200974884"/>
        </c:manualLayout>
      </c:layout>
      <c:scatterChart>
        <c:scatterStyle val="smoothMarker"/>
        <c:varyColors val="0"/>
        <c:ser>
          <c:idx val="0"/>
          <c:order val="0"/>
          <c:tx>
            <c:v>Total Execution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Overhead!$A$2:$A$10</c:f>
              <c:numCache>
                <c:formatCode>General</c:formatCode>
                <c:ptCount val="9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</c:numCache>
            </c:numRef>
          </c:xVal>
          <c:yVal>
            <c:numRef>
              <c:f>Overhead!$I$2:$I$10</c:f>
              <c:numCache>
                <c:formatCode>General</c:formatCode>
                <c:ptCount val="9"/>
                <c:pt idx="0">
                  <c:v>0.15387100000000001</c:v>
                </c:pt>
                <c:pt idx="1">
                  <c:v>0.149118</c:v>
                </c:pt>
                <c:pt idx="2">
                  <c:v>0.156448</c:v>
                </c:pt>
                <c:pt idx="3">
                  <c:v>0.154777</c:v>
                </c:pt>
                <c:pt idx="4">
                  <c:v>0.16303100000000001</c:v>
                </c:pt>
                <c:pt idx="5">
                  <c:v>0.170514</c:v>
                </c:pt>
                <c:pt idx="6">
                  <c:v>0.17805400000000002</c:v>
                </c:pt>
                <c:pt idx="7">
                  <c:v>0.17991199999999999</c:v>
                </c:pt>
                <c:pt idx="8">
                  <c:v>0.19945200000000002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27-47DF-B4FD-CF0C84908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575968"/>
        <c:axId val="1730815504"/>
      </c:scatterChart>
      <c:valAx>
        <c:axId val="173957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Square Image Size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0815504"/>
        <c:crosses val="autoZero"/>
        <c:crossBetween val="midCat"/>
      </c:valAx>
      <c:valAx>
        <c:axId val="17308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Total 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95759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419072615923"/>
          <c:y val="4.3650793650793648E-2"/>
          <c:w val="0.75230314960629918"/>
          <c:h val="0.77862392200974884"/>
        </c:manualLayout>
      </c:layout>
      <c:scatterChart>
        <c:scatterStyle val="smoothMarker"/>
        <c:varyColors val="0"/>
        <c:ser>
          <c:idx val="0"/>
          <c:order val="0"/>
          <c:tx>
            <c:v>Kernel Execution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Overhead!$A$2:$A$10</c:f>
              <c:numCache>
                <c:formatCode>General</c:formatCode>
                <c:ptCount val="9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</c:numCache>
            </c:numRef>
          </c:xVal>
          <c:yVal>
            <c:numRef>
              <c:f>Overhead!$E$2:$E$10</c:f>
              <c:numCache>
                <c:formatCode>General</c:formatCode>
                <c:ptCount val="9"/>
                <c:pt idx="0">
                  <c:v>4.0000000000000003E-5</c:v>
                </c:pt>
                <c:pt idx="1">
                  <c:v>4.6999999999999997E-5</c:v>
                </c:pt>
                <c:pt idx="2">
                  <c:v>7.1000000000000005E-5</c:v>
                </c:pt>
                <c:pt idx="3">
                  <c:v>1.15E-4</c:v>
                </c:pt>
                <c:pt idx="4">
                  <c:v>1.94E-4</c:v>
                </c:pt>
                <c:pt idx="5">
                  <c:v>3.19E-4</c:v>
                </c:pt>
                <c:pt idx="6">
                  <c:v>4.5100000000000001E-4</c:v>
                </c:pt>
                <c:pt idx="7">
                  <c:v>6.0400000000000004E-4</c:v>
                </c:pt>
                <c:pt idx="8">
                  <c:v>7.85E-4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2F-47B4-B83B-18349662D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575968"/>
        <c:axId val="1730815504"/>
      </c:scatterChart>
      <c:valAx>
        <c:axId val="173957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Square Image Size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0815504"/>
        <c:crosses val="autoZero"/>
        <c:crossBetween val="midCat"/>
      </c:valAx>
      <c:valAx>
        <c:axId val="17308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Kernel 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95759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419072615923"/>
          <c:y val="5.5555555555555552E-2"/>
          <c:w val="0.75230314960629918"/>
          <c:h val="0.77862392200974884"/>
        </c:manualLayout>
      </c:layout>
      <c:scatterChart>
        <c:scatterStyle val="smoothMarker"/>
        <c:varyColors val="0"/>
        <c:ser>
          <c:idx val="0"/>
          <c:order val="0"/>
          <c:tx>
            <c:v>Host to Device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Overhead!$B$2:$B$10</c:f>
              <c:numCache>
                <c:formatCode>General</c:formatCode>
                <c:ptCount val="9"/>
                <c:pt idx="0">
                  <c:v>250000</c:v>
                </c:pt>
                <c:pt idx="1">
                  <c:v>1000000</c:v>
                </c:pt>
                <c:pt idx="2">
                  <c:v>4000000</c:v>
                </c:pt>
                <c:pt idx="3">
                  <c:v>9000000</c:v>
                </c:pt>
                <c:pt idx="4">
                  <c:v>16000000</c:v>
                </c:pt>
                <c:pt idx="5">
                  <c:v>25000000</c:v>
                </c:pt>
                <c:pt idx="6">
                  <c:v>36000000</c:v>
                </c:pt>
                <c:pt idx="7">
                  <c:v>49000000</c:v>
                </c:pt>
                <c:pt idx="8">
                  <c:v>64000000</c:v>
                </c:pt>
              </c:numCache>
            </c:numRef>
          </c:xVal>
          <c:yVal>
            <c:numRef>
              <c:f>Overhead!$D$2:$D$10</c:f>
              <c:numCache>
                <c:formatCode>General</c:formatCode>
                <c:ptCount val="9"/>
                <c:pt idx="0">
                  <c:v>1.1336000000000001E-2</c:v>
                </c:pt>
                <c:pt idx="1">
                  <c:v>1.1464999999999999E-2</c:v>
                </c:pt>
                <c:pt idx="2">
                  <c:v>1.1998999999999999E-2</c:v>
                </c:pt>
                <c:pt idx="3">
                  <c:v>1.2885000000000001E-2</c:v>
                </c:pt>
                <c:pt idx="4">
                  <c:v>1.4097999999999999E-2</c:v>
                </c:pt>
                <c:pt idx="5">
                  <c:v>1.5973999999999999E-2</c:v>
                </c:pt>
                <c:pt idx="6">
                  <c:v>1.7801000000000001E-2</c:v>
                </c:pt>
                <c:pt idx="7">
                  <c:v>1.9887999999999999E-2</c:v>
                </c:pt>
                <c:pt idx="8">
                  <c:v>2.2349000000000001E-2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90-4E5C-A82A-C9AC3AF8CA69}"/>
            </c:ext>
          </c:extLst>
        </c:ser>
        <c:ser>
          <c:idx val="1"/>
          <c:order val="1"/>
          <c:tx>
            <c:v>Device to Host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Overhead!$B$2:$B$10</c:f>
              <c:numCache>
                <c:formatCode>General</c:formatCode>
                <c:ptCount val="9"/>
                <c:pt idx="0">
                  <c:v>250000</c:v>
                </c:pt>
                <c:pt idx="1">
                  <c:v>1000000</c:v>
                </c:pt>
                <c:pt idx="2">
                  <c:v>4000000</c:v>
                </c:pt>
                <c:pt idx="3">
                  <c:v>9000000</c:v>
                </c:pt>
                <c:pt idx="4">
                  <c:v>16000000</c:v>
                </c:pt>
                <c:pt idx="5">
                  <c:v>25000000</c:v>
                </c:pt>
                <c:pt idx="6">
                  <c:v>36000000</c:v>
                </c:pt>
                <c:pt idx="7">
                  <c:v>49000000</c:v>
                </c:pt>
                <c:pt idx="8">
                  <c:v>64000000</c:v>
                </c:pt>
              </c:numCache>
            </c:numRef>
          </c:xVal>
          <c:yVal>
            <c:numRef>
              <c:f>Overhead!$F$2:$F$10</c:f>
              <c:numCache>
                <c:formatCode>General</c:formatCode>
                <c:ptCount val="9"/>
                <c:pt idx="0">
                  <c:v>4.95E-4</c:v>
                </c:pt>
                <c:pt idx="1">
                  <c:v>1.1050000000000001E-3</c:v>
                </c:pt>
                <c:pt idx="2">
                  <c:v>2.336E-3</c:v>
                </c:pt>
                <c:pt idx="3">
                  <c:v>5.0220000000000004E-3</c:v>
                </c:pt>
                <c:pt idx="4">
                  <c:v>7.3309999999999998E-3</c:v>
                </c:pt>
                <c:pt idx="5">
                  <c:v>1.1310000000000001E-2</c:v>
                </c:pt>
                <c:pt idx="6">
                  <c:v>1.6059E-2</c:v>
                </c:pt>
                <c:pt idx="7">
                  <c:v>2.2223E-2</c:v>
                </c:pt>
                <c:pt idx="8">
                  <c:v>3.1572000000000003E-2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90-4E5C-A82A-C9AC3AF8C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575968"/>
        <c:axId val="1730815504"/>
      </c:scatterChart>
      <c:valAx>
        <c:axId val="173957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Square Image Size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0815504"/>
        <c:crosses val="autoZero"/>
        <c:crossBetween val="midCat"/>
      </c:valAx>
      <c:valAx>
        <c:axId val="17308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Copy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95759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90404636920385"/>
          <c:y val="8.7797150356205486E-2"/>
          <c:w val="0.26394444444444443"/>
          <c:h val="0.13332000356827556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425240594925633"/>
          <c:y val="4.3650793650793648E-2"/>
          <c:w val="0.72730314960629916"/>
          <c:h val="0.77862392200974884"/>
        </c:manualLayout>
      </c:layout>
      <c:scatterChart>
        <c:scatterStyle val="smoothMarker"/>
        <c:varyColors val="0"/>
        <c:ser>
          <c:idx val="0"/>
          <c:order val="0"/>
          <c:tx>
            <c:v>Copy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Overhead!$B$2:$B$10</c:f>
              <c:numCache>
                <c:formatCode>General</c:formatCode>
                <c:ptCount val="9"/>
                <c:pt idx="0">
                  <c:v>250000</c:v>
                </c:pt>
                <c:pt idx="1">
                  <c:v>1000000</c:v>
                </c:pt>
                <c:pt idx="2">
                  <c:v>4000000</c:v>
                </c:pt>
                <c:pt idx="3">
                  <c:v>9000000</c:v>
                </c:pt>
                <c:pt idx="4">
                  <c:v>16000000</c:v>
                </c:pt>
                <c:pt idx="5">
                  <c:v>25000000</c:v>
                </c:pt>
                <c:pt idx="6">
                  <c:v>36000000</c:v>
                </c:pt>
                <c:pt idx="7">
                  <c:v>49000000</c:v>
                </c:pt>
                <c:pt idx="8">
                  <c:v>64000000</c:v>
                </c:pt>
              </c:numCache>
            </c:numRef>
          </c:xVal>
          <c:yVal>
            <c:numRef>
              <c:f>Overhead!$G$2:$G$10</c:f>
              <c:numCache>
                <c:formatCode>General</c:formatCode>
                <c:ptCount val="9"/>
                <c:pt idx="0">
                  <c:v>1.1831000000000001E-2</c:v>
                </c:pt>
                <c:pt idx="1">
                  <c:v>1.257E-2</c:v>
                </c:pt>
                <c:pt idx="2">
                  <c:v>1.4334999999999999E-2</c:v>
                </c:pt>
                <c:pt idx="3">
                  <c:v>1.7906999999999999E-2</c:v>
                </c:pt>
                <c:pt idx="4">
                  <c:v>2.1429E-2</c:v>
                </c:pt>
                <c:pt idx="5">
                  <c:v>2.7283999999999999E-2</c:v>
                </c:pt>
                <c:pt idx="6">
                  <c:v>3.3860000000000001E-2</c:v>
                </c:pt>
                <c:pt idx="7">
                  <c:v>4.2110999999999996E-2</c:v>
                </c:pt>
                <c:pt idx="8">
                  <c:v>5.3921000000000004E-2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D4-4801-8B7A-4637CD9E0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575968"/>
        <c:axId val="1730815504"/>
      </c:scatterChart>
      <c:valAx>
        <c:axId val="173957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Square Image Size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0815504"/>
        <c:crosses val="autoZero"/>
        <c:crossBetween val="midCat"/>
      </c:valAx>
      <c:valAx>
        <c:axId val="17308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Copy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95759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419072615923"/>
          <c:y val="4.3650793650793648E-2"/>
          <c:w val="0.75230314960629918"/>
          <c:h val="0.77862392200974884"/>
        </c:manualLayout>
      </c:layout>
      <c:scatterChart>
        <c:scatterStyle val="smoothMarker"/>
        <c:varyColors val="0"/>
        <c:ser>
          <c:idx val="0"/>
          <c:order val="0"/>
          <c:tx>
            <c:v>Device Allocation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Overhead!$B$2:$B$10</c:f>
              <c:numCache>
                <c:formatCode>General</c:formatCode>
                <c:ptCount val="9"/>
                <c:pt idx="0">
                  <c:v>250000</c:v>
                </c:pt>
                <c:pt idx="1">
                  <c:v>1000000</c:v>
                </c:pt>
                <c:pt idx="2">
                  <c:v>4000000</c:v>
                </c:pt>
                <c:pt idx="3">
                  <c:v>9000000</c:v>
                </c:pt>
                <c:pt idx="4">
                  <c:v>16000000</c:v>
                </c:pt>
                <c:pt idx="5">
                  <c:v>25000000</c:v>
                </c:pt>
                <c:pt idx="6">
                  <c:v>36000000</c:v>
                </c:pt>
                <c:pt idx="7">
                  <c:v>49000000</c:v>
                </c:pt>
                <c:pt idx="8">
                  <c:v>64000000</c:v>
                </c:pt>
              </c:numCache>
            </c:numRef>
          </c:xVal>
          <c:yVal>
            <c:numRef>
              <c:f>Overhead!$C$2:$C$10</c:f>
              <c:numCache>
                <c:formatCode>General</c:formatCode>
                <c:ptCount val="9"/>
                <c:pt idx="0">
                  <c:v>0.14199999999999999</c:v>
                </c:pt>
                <c:pt idx="1">
                  <c:v>0.13650100000000001</c:v>
                </c:pt>
                <c:pt idx="2">
                  <c:v>0.142042</c:v>
                </c:pt>
                <c:pt idx="3">
                  <c:v>0.13675499999999999</c:v>
                </c:pt>
                <c:pt idx="4">
                  <c:v>0.14140800000000001</c:v>
                </c:pt>
                <c:pt idx="5">
                  <c:v>0.14291100000000001</c:v>
                </c:pt>
                <c:pt idx="6">
                  <c:v>0.14374300000000001</c:v>
                </c:pt>
                <c:pt idx="7">
                  <c:v>0.13719700000000001</c:v>
                </c:pt>
                <c:pt idx="8">
                  <c:v>0.14474600000000001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8F-4328-84AD-3FA0CA22F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575968"/>
        <c:axId val="1730815504"/>
      </c:scatterChart>
      <c:valAx>
        <c:axId val="173957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Square Image Size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0815504"/>
        <c:crosses val="autoZero"/>
        <c:crossBetween val="midCat"/>
      </c:valAx>
      <c:valAx>
        <c:axId val="1730815504"/>
        <c:scaling>
          <c:orientation val="minMax"/>
          <c:max val="0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Device Allocation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95759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419072615923"/>
          <c:y val="4.3650793650793648E-2"/>
          <c:w val="0.75230314960629918"/>
          <c:h val="0.77862392200974884"/>
        </c:manualLayout>
      </c:layout>
      <c:scatterChart>
        <c:scatterStyle val="smoothMarker"/>
        <c:varyColors val="0"/>
        <c:ser>
          <c:idx val="0"/>
          <c:order val="0"/>
          <c:tx>
            <c:v>Overhead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Overhead!$B$2:$B$10</c:f>
              <c:numCache>
                <c:formatCode>General</c:formatCode>
                <c:ptCount val="9"/>
                <c:pt idx="0">
                  <c:v>250000</c:v>
                </c:pt>
                <c:pt idx="1">
                  <c:v>1000000</c:v>
                </c:pt>
                <c:pt idx="2">
                  <c:v>4000000</c:v>
                </c:pt>
                <c:pt idx="3">
                  <c:v>9000000</c:v>
                </c:pt>
                <c:pt idx="4">
                  <c:v>16000000</c:v>
                </c:pt>
                <c:pt idx="5">
                  <c:v>25000000</c:v>
                </c:pt>
                <c:pt idx="6">
                  <c:v>36000000</c:v>
                </c:pt>
                <c:pt idx="7">
                  <c:v>49000000</c:v>
                </c:pt>
                <c:pt idx="8">
                  <c:v>64000000</c:v>
                </c:pt>
              </c:numCache>
            </c:numRef>
          </c:xVal>
          <c:yVal>
            <c:numRef>
              <c:f>Overhead!$H$2:$H$10</c:f>
              <c:numCache>
                <c:formatCode>General</c:formatCode>
                <c:ptCount val="9"/>
                <c:pt idx="0">
                  <c:v>0.153831</c:v>
                </c:pt>
                <c:pt idx="1">
                  <c:v>0.14907100000000001</c:v>
                </c:pt>
                <c:pt idx="2">
                  <c:v>0.15637700000000002</c:v>
                </c:pt>
                <c:pt idx="3">
                  <c:v>0.15466199999999999</c:v>
                </c:pt>
                <c:pt idx="4">
                  <c:v>0.16283700000000001</c:v>
                </c:pt>
                <c:pt idx="5">
                  <c:v>0.17019499999999999</c:v>
                </c:pt>
                <c:pt idx="6">
                  <c:v>0.17760300000000001</c:v>
                </c:pt>
                <c:pt idx="7">
                  <c:v>0.179308</c:v>
                </c:pt>
                <c:pt idx="8">
                  <c:v>0.19866700000000004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47-42B3-ACE2-632E00097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575968"/>
        <c:axId val="1730815504"/>
      </c:scatterChart>
      <c:valAx>
        <c:axId val="173957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Square Image Size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0815504"/>
        <c:crosses val="autoZero"/>
        <c:crossBetween val="midCat"/>
      </c:valAx>
      <c:valAx>
        <c:axId val="17308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Overhead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95759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97462817147857"/>
          <c:y val="4.3650793650793648E-2"/>
          <c:w val="0.77174759405074367"/>
          <c:h val="0.77862392200974884"/>
        </c:manualLayout>
      </c:layout>
      <c:scatterChart>
        <c:scatterStyle val="smoothMarker"/>
        <c:varyColors val="0"/>
        <c:ser>
          <c:idx val="0"/>
          <c:order val="0"/>
          <c:tx>
            <c:v>% Overhead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Overhead!$B$2:$B$10</c:f>
              <c:numCache>
                <c:formatCode>General</c:formatCode>
                <c:ptCount val="9"/>
                <c:pt idx="0">
                  <c:v>250000</c:v>
                </c:pt>
                <c:pt idx="1">
                  <c:v>1000000</c:v>
                </c:pt>
                <c:pt idx="2">
                  <c:v>4000000</c:v>
                </c:pt>
                <c:pt idx="3">
                  <c:v>9000000</c:v>
                </c:pt>
                <c:pt idx="4">
                  <c:v>16000000</c:v>
                </c:pt>
                <c:pt idx="5">
                  <c:v>25000000</c:v>
                </c:pt>
                <c:pt idx="6">
                  <c:v>36000000</c:v>
                </c:pt>
                <c:pt idx="7">
                  <c:v>49000000</c:v>
                </c:pt>
                <c:pt idx="8">
                  <c:v>64000000</c:v>
                </c:pt>
              </c:numCache>
            </c:numRef>
          </c:xVal>
          <c:yVal>
            <c:numRef>
              <c:f>Overhead!$J$2:$J$10</c:f>
              <c:numCache>
                <c:formatCode>General</c:formatCode>
                <c:ptCount val="9"/>
                <c:pt idx="0">
                  <c:v>0.99974004198321964</c:v>
                </c:pt>
                <c:pt idx="1">
                  <c:v>0.99968481336927806</c:v>
                </c:pt>
                <c:pt idx="2">
                  <c:v>0.99954617508692989</c:v>
                </c:pt>
                <c:pt idx="3">
                  <c:v>0.99925699554843417</c:v>
                </c:pt>
                <c:pt idx="4">
                  <c:v>0.99881004226190107</c:v>
                </c:pt>
                <c:pt idx="5">
                  <c:v>0.99812918587330068</c:v>
                </c:pt>
                <c:pt idx="6">
                  <c:v>0.99746706055466317</c:v>
                </c:pt>
                <c:pt idx="7">
                  <c:v>0.99664280314820586</c:v>
                </c:pt>
                <c:pt idx="8">
                  <c:v>0.9960642159517078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31-49FA-9709-8D0A9A615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575968"/>
        <c:axId val="1730815504"/>
      </c:scatterChart>
      <c:valAx>
        <c:axId val="173957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Input Image Pixels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0815504"/>
        <c:crosses val="autoZero"/>
        <c:crossBetween val="midCat"/>
      </c:valAx>
      <c:valAx>
        <c:axId val="17308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% Overhead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95759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419072615923"/>
          <c:y val="4.3650793650793648E-2"/>
          <c:w val="0.75230314960629918"/>
          <c:h val="0.77862392200974884"/>
        </c:manualLayout>
      </c:layout>
      <c:scatterChart>
        <c:scatterStyle val="smoothMarker"/>
        <c:varyColors val="0"/>
        <c:ser>
          <c:idx val="0"/>
          <c:order val="0"/>
          <c:tx>
            <c:v>Total Execution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Overhead!$B$2:$B$10</c:f>
              <c:numCache>
                <c:formatCode>General</c:formatCode>
                <c:ptCount val="9"/>
                <c:pt idx="0">
                  <c:v>250000</c:v>
                </c:pt>
                <c:pt idx="1">
                  <c:v>1000000</c:v>
                </c:pt>
                <c:pt idx="2">
                  <c:v>4000000</c:v>
                </c:pt>
                <c:pt idx="3">
                  <c:v>9000000</c:v>
                </c:pt>
                <c:pt idx="4">
                  <c:v>16000000</c:v>
                </c:pt>
                <c:pt idx="5">
                  <c:v>25000000</c:v>
                </c:pt>
                <c:pt idx="6">
                  <c:v>36000000</c:v>
                </c:pt>
                <c:pt idx="7">
                  <c:v>49000000</c:v>
                </c:pt>
                <c:pt idx="8">
                  <c:v>64000000</c:v>
                </c:pt>
              </c:numCache>
            </c:numRef>
          </c:xVal>
          <c:yVal>
            <c:numRef>
              <c:f>Overhead!$I$2:$I$10</c:f>
              <c:numCache>
                <c:formatCode>General</c:formatCode>
                <c:ptCount val="9"/>
                <c:pt idx="0">
                  <c:v>0.15387100000000001</c:v>
                </c:pt>
                <c:pt idx="1">
                  <c:v>0.149118</c:v>
                </c:pt>
                <c:pt idx="2">
                  <c:v>0.156448</c:v>
                </c:pt>
                <c:pt idx="3">
                  <c:v>0.154777</c:v>
                </c:pt>
                <c:pt idx="4">
                  <c:v>0.16303100000000001</c:v>
                </c:pt>
                <c:pt idx="5">
                  <c:v>0.170514</c:v>
                </c:pt>
                <c:pt idx="6">
                  <c:v>0.17805400000000002</c:v>
                </c:pt>
                <c:pt idx="7">
                  <c:v>0.17991199999999999</c:v>
                </c:pt>
                <c:pt idx="8">
                  <c:v>0.19945200000000002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1A-4907-9368-A6F926789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575968"/>
        <c:axId val="1730815504"/>
      </c:scatterChart>
      <c:valAx>
        <c:axId val="173957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Square Image Size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0815504"/>
        <c:crosses val="autoZero"/>
        <c:crossBetween val="midCat"/>
      </c:valAx>
      <c:valAx>
        <c:axId val="17308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Total 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95759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700828508227861"/>
          <c:y val="4.3650793650793648E-2"/>
          <c:w val="0.72451330092356248"/>
          <c:h val="0.77862392200974884"/>
        </c:manualLayout>
      </c:layout>
      <c:scatterChart>
        <c:scatterStyle val="smoothMarker"/>
        <c:varyColors val="0"/>
        <c:ser>
          <c:idx val="0"/>
          <c:order val="0"/>
          <c:tx>
            <c:v>Kernel Execution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Overhead!$B$2:$B$10</c:f>
              <c:numCache>
                <c:formatCode>General</c:formatCode>
                <c:ptCount val="9"/>
                <c:pt idx="0">
                  <c:v>250000</c:v>
                </c:pt>
                <c:pt idx="1">
                  <c:v>1000000</c:v>
                </c:pt>
                <c:pt idx="2">
                  <c:v>4000000</c:v>
                </c:pt>
                <c:pt idx="3">
                  <c:v>9000000</c:v>
                </c:pt>
                <c:pt idx="4">
                  <c:v>16000000</c:v>
                </c:pt>
                <c:pt idx="5">
                  <c:v>25000000</c:v>
                </c:pt>
                <c:pt idx="6">
                  <c:v>36000000</c:v>
                </c:pt>
                <c:pt idx="7">
                  <c:v>49000000</c:v>
                </c:pt>
                <c:pt idx="8">
                  <c:v>64000000</c:v>
                </c:pt>
              </c:numCache>
            </c:numRef>
          </c:xVal>
          <c:yVal>
            <c:numRef>
              <c:f>Overhead!$E$2:$E$10</c:f>
              <c:numCache>
                <c:formatCode>General</c:formatCode>
                <c:ptCount val="9"/>
                <c:pt idx="0">
                  <c:v>4.0000000000000003E-5</c:v>
                </c:pt>
                <c:pt idx="1">
                  <c:v>4.6999999999999997E-5</c:v>
                </c:pt>
                <c:pt idx="2">
                  <c:v>7.1000000000000005E-5</c:v>
                </c:pt>
                <c:pt idx="3">
                  <c:v>1.15E-4</c:v>
                </c:pt>
                <c:pt idx="4">
                  <c:v>1.94E-4</c:v>
                </c:pt>
                <c:pt idx="5">
                  <c:v>3.19E-4</c:v>
                </c:pt>
                <c:pt idx="6">
                  <c:v>4.5100000000000001E-4</c:v>
                </c:pt>
                <c:pt idx="7">
                  <c:v>6.0400000000000004E-4</c:v>
                </c:pt>
                <c:pt idx="8">
                  <c:v>7.85E-4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B5-4A62-92E1-7A0826381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575968"/>
        <c:axId val="1730815504"/>
      </c:scatterChart>
      <c:valAx>
        <c:axId val="173957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Square Image Size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0815504"/>
        <c:crosses val="autoZero"/>
        <c:crossBetween val="midCat"/>
      </c:valAx>
      <c:valAx>
        <c:axId val="17308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Kernel 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17395759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394606</xdr:colOff>
      <xdr:row>6</xdr:row>
      <xdr:rowOff>125185</xdr:rowOff>
    </xdr:from>
    <xdr:to>
      <xdr:col>11</xdr:col>
      <xdr:colOff>394606</xdr:colOff>
      <xdr:row>23</xdr:row>
      <xdr:rowOff>179614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1501C9-BE27-2EFF-AAA3-0FD4BB6C4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522515</xdr:colOff>
      <xdr:row>6</xdr:row>
      <xdr:rowOff>103415</xdr:rowOff>
    </xdr:from>
    <xdr:to>
      <xdr:col>18</xdr:col>
      <xdr:colOff>522515</xdr:colOff>
      <xdr:row>23</xdr:row>
      <xdr:rowOff>157844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50C79B-7091-4741-9FAA-F41A9DD72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168728</xdr:colOff>
      <xdr:row>10</xdr:row>
      <xdr:rowOff>65314</xdr:rowOff>
    </xdr:from>
    <xdr:to>
      <xdr:col>7</xdr:col>
      <xdr:colOff>713013</xdr:colOff>
      <xdr:row>27</xdr:row>
      <xdr:rowOff>119742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6F6EBC-0C0E-40CF-9FB2-F9A77CD25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81640</xdr:colOff>
      <xdr:row>27</xdr:row>
      <xdr:rowOff>157843</xdr:rowOff>
    </xdr:from>
    <xdr:to>
      <xdr:col>7</xdr:col>
      <xdr:colOff>625925</xdr:colOff>
      <xdr:row>45</xdr:row>
      <xdr:rowOff>27215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6846AA-B7AD-460D-8091-CF12AD354B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555170</xdr:colOff>
      <xdr:row>10</xdr:row>
      <xdr:rowOff>92529</xdr:rowOff>
    </xdr:from>
    <xdr:to>
      <xdr:col>3</xdr:col>
      <xdr:colOff>1475012</xdr:colOff>
      <xdr:row>27</xdr:row>
      <xdr:rowOff>146957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65EEE4-41C8-4100-9DC3-F4741B1B3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1039585</xdr:colOff>
      <xdr:row>27</xdr:row>
      <xdr:rowOff>174172</xdr:rowOff>
    </xdr:from>
    <xdr:to>
      <xdr:col>3</xdr:col>
      <xdr:colOff>1959427</xdr:colOff>
      <xdr:row>45</xdr:row>
      <xdr:rowOff>43544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3B8F3E-8B93-4F63-8DCF-821B1267A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582387</xdr:colOff>
      <xdr:row>44</xdr:row>
      <xdr:rowOff>130628</xdr:rowOff>
    </xdr:from>
    <xdr:to>
      <xdr:col>8</xdr:col>
      <xdr:colOff>1</xdr:colOff>
      <xdr:row>61</xdr:row>
      <xdr:rowOff>185056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66BEB1-F7A4-4492-88DE-9FE2D37B6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59872</xdr:colOff>
      <xdr:row>27</xdr:row>
      <xdr:rowOff>136072</xdr:rowOff>
    </xdr:from>
    <xdr:to>
      <xdr:col>14</xdr:col>
      <xdr:colOff>473529</xdr:colOff>
      <xdr:row>45</xdr:row>
      <xdr:rowOff>5444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84BB80-343E-4455-9824-362484DD0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27215</xdr:colOff>
      <xdr:row>10</xdr:row>
      <xdr:rowOff>76200</xdr:rowOff>
    </xdr:from>
    <xdr:to>
      <xdr:col>14</xdr:col>
      <xdr:colOff>440872</xdr:colOff>
      <xdr:row>27</xdr:row>
      <xdr:rowOff>130628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8D590F-A560-4D16-8CB5-492279636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484415</xdr:colOff>
      <xdr:row>10</xdr:row>
      <xdr:rowOff>178129</xdr:rowOff>
    </xdr:from>
    <xdr:to>
      <xdr:col>31</xdr:col>
      <xdr:colOff>484415</xdr:colOff>
      <xdr:row>28</xdr:row>
      <xdr:rowOff>44532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A469E2C-69F9-47D2-A981-FBEC4FE30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486392</xdr:colOff>
      <xdr:row>28</xdr:row>
      <xdr:rowOff>82633</xdr:rowOff>
    </xdr:from>
    <xdr:to>
      <xdr:col>31</xdr:col>
      <xdr:colOff>486392</xdr:colOff>
      <xdr:row>45</xdr:row>
      <xdr:rowOff>140030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969A803-FDD1-406E-BDEB-0A3425324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425532</xdr:colOff>
      <xdr:row>11</xdr:row>
      <xdr:rowOff>17319</xdr:rowOff>
    </xdr:from>
    <xdr:to>
      <xdr:col>23</xdr:col>
      <xdr:colOff>425036</xdr:colOff>
      <xdr:row>28</xdr:row>
      <xdr:rowOff>71747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0E7C532-7D2E-4864-A520-FB9F6EA1B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256805</xdr:colOff>
      <xdr:row>28</xdr:row>
      <xdr:rowOff>98962</xdr:rowOff>
    </xdr:from>
    <xdr:to>
      <xdr:col>24</xdr:col>
      <xdr:colOff>256309</xdr:colOff>
      <xdr:row>45</xdr:row>
      <xdr:rowOff>156359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3558599-BC07-42B7-A689-6F41C8046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244930</xdr:colOff>
      <xdr:row>45</xdr:row>
      <xdr:rowOff>55418</xdr:rowOff>
    </xdr:from>
    <xdr:to>
      <xdr:col>32</xdr:col>
      <xdr:colOff>246415</xdr:colOff>
      <xdr:row>62</xdr:row>
      <xdr:rowOff>109844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5D0722B-4294-4282-AF4C-CC7EF02AB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32</xdr:col>
      <xdr:colOff>306286</xdr:colOff>
      <xdr:row>28</xdr:row>
      <xdr:rowOff>60862</xdr:rowOff>
    </xdr:from>
    <xdr:to>
      <xdr:col>39</xdr:col>
      <xdr:colOff>304307</xdr:colOff>
      <xdr:row>45</xdr:row>
      <xdr:rowOff>118259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EE185FB-6F12-4544-9156-4BFEE493B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32</xdr:col>
      <xdr:colOff>273629</xdr:colOff>
      <xdr:row>11</xdr:row>
      <xdr:rowOff>990</xdr:rowOff>
    </xdr:from>
    <xdr:to>
      <xdr:col>39</xdr:col>
      <xdr:colOff>271650</xdr:colOff>
      <xdr:row>28</xdr:row>
      <xdr:rowOff>55418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E8C8242-E550-4151-BE31-8B9A930B6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P29" sqref="P29"/>
    </sheetView>
  </sheetViews>
  <sheetFormatPr defaultRowHeight="14.6" x14ac:dyDescent="0.4"/>
  <cols>
    <col min="1" max="1" width="12.23046875" customWidth="1"/>
    <col min="2" max="2" width="16.3046875" customWidth="1"/>
    <col min="3" max="3" width="16" bestFit="1" customWidth="1"/>
  </cols>
  <sheetData>
    <row r="1" spans="1:4" x14ac:dyDescent="0.4">
      <c r="A1" t="s">
        <v>0</v>
      </c>
      <c r="B1">
        <v>5</v>
      </c>
    </row>
    <row r="3" spans="1:4" x14ac:dyDescent="0.4">
      <c r="A3" t="s">
        <v>1</v>
      </c>
      <c r="B3" t="s">
        <v>14</v>
      </c>
      <c r="C3" t="s">
        <v>2</v>
      </c>
      <c r="D3" t="s">
        <v>3</v>
      </c>
    </row>
    <row r="4" spans="1:4" x14ac:dyDescent="0.4">
      <c r="A4">
        <v>500</v>
      </c>
      <c r="B4">
        <f>A4^2</f>
        <v>250000</v>
      </c>
      <c r="C4">
        <v>4.0000000000000003E-5</v>
      </c>
      <c r="D4">
        <f>(A4^2*$B$1^2*2)/C4</f>
        <v>312500000000</v>
      </c>
    </row>
    <row r="5" spans="1:4" x14ac:dyDescent="0.4">
      <c r="A5">
        <v>1000</v>
      </c>
      <c r="B5">
        <f t="shared" ref="B5:B12" si="0">A5^2</f>
        <v>1000000</v>
      </c>
      <c r="C5">
        <v>4.6999999999999997E-5</v>
      </c>
      <c r="D5">
        <f>(A5^2*$B$1^2*2)/C5</f>
        <v>1063829787234.0426</v>
      </c>
    </row>
    <row r="6" spans="1:4" x14ac:dyDescent="0.4">
      <c r="A6">
        <v>2000</v>
      </c>
      <c r="B6">
        <f t="shared" si="0"/>
        <v>4000000</v>
      </c>
      <c r="C6">
        <v>7.1000000000000005E-5</v>
      </c>
      <c r="D6">
        <f>(A6^2*$B$1^2*2)/C6</f>
        <v>2816901408450.7041</v>
      </c>
    </row>
    <row r="7" spans="1:4" x14ac:dyDescent="0.4">
      <c r="A7">
        <v>3000</v>
      </c>
      <c r="B7">
        <f t="shared" si="0"/>
        <v>9000000</v>
      </c>
      <c r="C7">
        <v>1.15E-4</v>
      </c>
      <c r="D7">
        <f>(A7^2*$B$1^2*2)/C7</f>
        <v>3913043478260.8696</v>
      </c>
    </row>
    <row r="8" spans="1:4" x14ac:dyDescent="0.4">
      <c r="A8">
        <v>4000</v>
      </c>
      <c r="B8">
        <f t="shared" si="0"/>
        <v>16000000</v>
      </c>
      <c r="C8">
        <v>1.94E-4</v>
      </c>
      <c r="D8">
        <f>(A8^2*$B$1^2*2)/C8</f>
        <v>4123711340206.1855</v>
      </c>
    </row>
    <row r="9" spans="1:4" x14ac:dyDescent="0.4">
      <c r="A9">
        <v>5000</v>
      </c>
      <c r="B9">
        <f t="shared" si="0"/>
        <v>25000000</v>
      </c>
      <c r="C9">
        <v>3.19E-4</v>
      </c>
      <c r="D9">
        <f>(A9^2*$B$1^2*2)/C9</f>
        <v>3918495297805.6426</v>
      </c>
    </row>
    <row r="10" spans="1:4" x14ac:dyDescent="0.4">
      <c r="A10">
        <v>6000</v>
      </c>
      <c r="B10">
        <f t="shared" si="0"/>
        <v>36000000</v>
      </c>
      <c r="C10">
        <v>4.5100000000000001E-4</v>
      </c>
      <c r="D10">
        <f>(A10^2*$B$1^2*2)/C10</f>
        <v>3991130820399.1128</v>
      </c>
    </row>
    <row r="11" spans="1:4" x14ac:dyDescent="0.4">
      <c r="A11">
        <v>7000</v>
      </c>
      <c r="B11">
        <f t="shared" si="0"/>
        <v>49000000</v>
      </c>
      <c r="C11">
        <v>6.0400000000000004E-4</v>
      </c>
      <c r="D11">
        <f>(A11^2*$B$1^2*2)/C11</f>
        <v>4056291390728.4766</v>
      </c>
    </row>
    <row r="12" spans="1:4" x14ac:dyDescent="0.4">
      <c r="A12">
        <v>8000</v>
      </c>
      <c r="B12">
        <f t="shared" si="0"/>
        <v>64000000</v>
      </c>
      <c r="C12">
        <v>7.85E-4</v>
      </c>
      <c r="D12">
        <f>(A12^2*$B$1^2*2)/C12</f>
        <v>4076433121019.1084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958C-888D-47C0-ABBB-7D953FE4F23F}">
  <dimension ref="A1:J10"/>
  <sheetViews>
    <sheetView tabSelected="1" topLeftCell="F12" zoomScale="55" zoomScaleNormal="55" workbookViewId="0">
      <selection activeCell="AM56" sqref="AM56"/>
    </sheetView>
  </sheetViews>
  <sheetFormatPr defaultRowHeight="14.6" x14ac:dyDescent="0.4"/>
  <cols>
    <col min="1" max="2" width="14.69140625" customWidth="1"/>
    <col min="3" max="3" width="22.23046875" bestFit="1" customWidth="1"/>
    <col min="4" max="4" width="28.53515625" bestFit="1" customWidth="1"/>
    <col min="5" max="5" width="15.69140625" bestFit="1" customWidth="1"/>
    <col min="6" max="6" width="28.53515625" customWidth="1"/>
    <col min="7" max="7" width="12.69140625" customWidth="1"/>
    <col min="8" max="8" width="15.921875" bestFit="1" customWidth="1"/>
    <col min="9" max="9" width="12.61328125" customWidth="1"/>
  </cols>
  <sheetData>
    <row r="1" spans="1:10" x14ac:dyDescent="0.4">
      <c r="A1" t="s">
        <v>4</v>
      </c>
      <c r="B1" t="s">
        <v>13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4">
      <c r="A2">
        <v>500</v>
      </c>
      <c r="B2">
        <f>A2^2</f>
        <v>250000</v>
      </c>
      <c r="C2">
        <v>0.14199999999999999</v>
      </c>
      <c r="D2">
        <v>1.1336000000000001E-2</v>
      </c>
      <c r="E2">
        <v>4.0000000000000003E-5</v>
      </c>
      <c r="F2">
        <v>4.95E-4</v>
      </c>
      <c r="G2">
        <f>D2+F2</f>
        <v>1.1831000000000001E-2</v>
      </c>
      <c r="H2">
        <f>C2+D2+F2</f>
        <v>0.153831</v>
      </c>
      <c r="I2">
        <f>C2+D2+E2+F2</f>
        <v>0.15387100000000001</v>
      </c>
      <c r="J2">
        <f>H2/I2</f>
        <v>0.99974004198321964</v>
      </c>
    </row>
    <row r="3" spans="1:10" x14ac:dyDescent="0.4">
      <c r="A3">
        <v>1000</v>
      </c>
      <c r="B3">
        <f t="shared" ref="B3:B10" si="0">A3^2</f>
        <v>1000000</v>
      </c>
      <c r="C3">
        <v>0.13650100000000001</v>
      </c>
      <c r="D3">
        <v>1.1464999999999999E-2</v>
      </c>
      <c r="E3">
        <v>4.6999999999999997E-5</v>
      </c>
      <c r="F3">
        <v>1.1050000000000001E-3</v>
      </c>
      <c r="G3">
        <f t="shared" ref="G3:G10" si="1">D3+F3</f>
        <v>1.257E-2</v>
      </c>
      <c r="H3">
        <f t="shared" ref="H3:H10" si="2">C3+D3+F3</f>
        <v>0.14907100000000001</v>
      </c>
      <c r="I3">
        <f t="shared" ref="I3:I10" si="3">C3+D3+E3+F3</f>
        <v>0.149118</v>
      </c>
      <c r="J3">
        <f t="shared" ref="J3:J10" si="4">H3/I3</f>
        <v>0.99968481336927806</v>
      </c>
    </row>
    <row r="4" spans="1:10" x14ac:dyDescent="0.4">
      <c r="A4">
        <v>2000</v>
      </c>
      <c r="B4">
        <f t="shared" si="0"/>
        <v>4000000</v>
      </c>
      <c r="C4">
        <v>0.142042</v>
      </c>
      <c r="D4">
        <v>1.1998999999999999E-2</v>
      </c>
      <c r="E4">
        <v>7.1000000000000005E-5</v>
      </c>
      <c r="F4">
        <v>2.336E-3</v>
      </c>
      <c r="G4">
        <f t="shared" si="1"/>
        <v>1.4334999999999999E-2</v>
      </c>
      <c r="H4">
        <f t="shared" si="2"/>
        <v>0.15637700000000002</v>
      </c>
      <c r="I4">
        <f t="shared" si="3"/>
        <v>0.156448</v>
      </c>
      <c r="J4">
        <f t="shared" si="4"/>
        <v>0.99954617508692989</v>
      </c>
    </row>
    <row r="5" spans="1:10" x14ac:dyDescent="0.4">
      <c r="A5">
        <v>3000</v>
      </c>
      <c r="B5">
        <f t="shared" si="0"/>
        <v>9000000</v>
      </c>
      <c r="C5">
        <v>0.13675499999999999</v>
      </c>
      <c r="D5">
        <v>1.2885000000000001E-2</v>
      </c>
      <c r="E5">
        <v>1.15E-4</v>
      </c>
      <c r="F5">
        <v>5.0220000000000004E-3</v>
      </c>
      <c r="G5">
        <f t="shared" si="1"/>
        <v>1.7906999999999999E-2</v>
      </c>
      <c r="H5">
        <f t="shared" si="2"/>
        <v>0.15466199999999999</v>
      </c>
      <c r="I5">
        <f t="shared" si="3"/>
        <v>0.154777</v>
      </c>
      <c r="J5">
        <f t="shared" si="4"/>
        <v>0.99925699554843417</v>
      </c>
    </row>
    <row r="6" spans="1:10" x14ac:dyDescent="0.4">
      <c r="A6">
        <v>4000</v>
      </c>
      <c r="B6">
        <f t="shared" si="0"/>
        <v>16000000</v>
      </c>
      <c r="C6">
        <v>0.14140800000000001</v>
      </c>
      <c r="D6">
        <v>1.4097999999999999E-2</v>
      </c>
      <c r="E6">
        <v>1.94E-4</v>
      </c>
      <c r="F6">
        <v>7.3309999999999998E-3</v>
      </c>
      <c r="G6">
        <f t="shared" si="1"/>
        <v>2.1429E-2</v>
      </c>
      <c r="H6">
        <f t="shared" si="2"/>
        <v>0.16283700000000001</v>
      </c>
      <c r="I6">
        <f t="shared" si="3"/>
        <v>0.16303100000000001</v>
      </c>
      <c r="J6">
        <f t="shared" si="4"/>
        <v>0.99881004226190107</v>
      </c>
    </row>
    <row r="7" spans="1:10" x14ac:dyDescent="0.4">
      <c r="A7">
        <v>5000</v>
      </c>
      <c r="B7">
        <f t="shared" si="0"/>
        <v>25000000</v>
      </c>
      <c r="C7">
        <v>0.14291100000000001</v>
      </c>
      <c r="D7">
        <v>1.5973999999999999E-2</v>
      </c>
      <c r="E7">
        <v>3.19E-4</v>
      </c>
      <c r="F7">
        <v>1.1310000000000001E-2</v>
      </c>
      <c r="G7">
        <f t="shared" si="1"/>
        <v>2.7283999999999999E-2</v>
      </c>
      <c r="H7">
        <f t="shared" si="2"/>
        <v>0.17019499999999999</v>
      </c>
      <c r="I7">
        <f t="shared" si="3"/>
        <v>0.170514</v>
      </c>
      <c r="J7">
        <f t="shared" si="4"/>
        <v>0.99812918587330068</v>
      </c>
    </row>
    <row r="8" spans="1:10" x14ac:dyDescent="0.4">
      <c r="A8">
        <v>6000</v>
      </c>
      <c r="B8">
        <f t="shared" si="0"/>
        <v>36000000</v>
      </c>
      <c r="C8">
        <v>0.14374300000000001</v>
      </c>
      <c r="D8">
        <v>1.7801000000000001E-2</v>
      </c>
      <c r="E8">
        <v>4.5100000000000001E-4</v>
      </c>
      <c r="F8">
        <v>1.6059E-2</v>
      </c>
      <c r="G8">
        <f t="shared" si="1"/>
        <v>3.3860000000000001E-2</v>
      </c>
      <c r="H8">
        <f t="shared" si="2"/>
        <v>0.17760300000000001</v>
      </c>
      <c r="I8">
        <f t="shared" si="3"/>
        <v>0.17805400000000002</v>
      </c>
      <c r="J8">
        <f t="shared" si="4"/>
        <v>0.99746706055466317</v>
      </c>
    </row>
    <row r="9" spans="1:10" x14ac:dyDescent="0.4">
      <c r="A9">
        <v>7000</v>
      </c>
      <c r="B9">
        <f t="shared" si="0"/>
        <v>49000000</v>
      </c>
      <c r="C9">
        <v>0.13719700000000001</v>
      </c>
      <c r="D9">
        <v>1.9887999999999999E-2</v>
      </c>
      <c r="E9">
        <v>6.0400000000000004E-4</v>
      </c>
      <c r="F9">
        <v>2.2223E-2</v>
      </c>
      <c r="G9">
        <f t="shared" si="1"/>
        <v>4.2110999999999996E-2</v>
      </c>
      <c r="H9">
        <f t="shared" si="2"/>
        <v>0.179308</v>
      </c>
      <c r="I9">
        <f t="shared" si="3"/>
        <v>0.17991199999999999</v>
      </c>
      <c r="J9">
        <f t="shared" si="4"/>
        <v>0.99664280314820586</v>
      </c>
    </row>
    <row r="10" spans="1:10" x14ac:dyDescent="0.4">
      <c r="A10">
        <v>8000</v>
      </c>
      <c r="B10">
        <f t="shared" si="0"/>
        <v>64000000</v>
      </c>
      <c r="C10">
        <v>0.14474600000000001</v>
      </c>
      <c r="D10">
        <v>2.2349000000000001E-2</v>
      </c>
      <c r="E10">
        <v>7.85E-4</v>
      </c>
      <c r="F10">
        <v>3.1572000000000003E-2</v>
      </c>
      <c r="G10">
        <f t="shared" si="1"/>
        <v>5.3921000000000004E-2</v>
      </c>
      <c r="H10">
        <f t="shared" si="2"/>
        <v>0.19866700000000004</v>
      </c>
      <c r="I10">
        <f t="shared" si="3"/>
        <v>0.19945200000000002</v>
      </c>
      <c r="J10">
        <f t="shared" si="4"/>
        <v>0.9960642159517078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FLOPS</vt:lpstr>
      <vt:lpstr>Overhead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Storti</dc:creator>
  <cp:lastModifiedBy>Storti, Nicholas</cp:lastModifiedBy>
  <dcterms:created xsi:type="dcterms:W3CDTF">2015-06-05T18:17:20Z</dcterms:created>
  <dcterms:modified xsi:type="dcterms:W3CDTF">2026-07-08T01:14:58Z</dcterms:modified>
</cp:coreProperties>
</file>