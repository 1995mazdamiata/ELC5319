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baylor0-my.sharepoint.com/personal/nicholas_storti1_baylor_edu/Documents/Year 1 Summer/ELC 5319/ELC5319/Final/Report/"/>
    </mc:Choice>
  </mc:AlternateContent>
  <xr:revisionPtr revIDLastSave="218" documentId="11_F25DC773A252ABDACC1048D4D1DC40305BDE58E8" xr6:coauthVersionLast="47" xr6:coauthVersionMax="47" xr10:uidLastSave="{63BA3FA2-58EB-4DDA-A48D-6910918054A4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5" i="1"/>
  <c r="B26" i="1"/>
  <c r="B27" i="1"/>
  <c r="B28" i="1"/>
  <c r="B29" i="1"/>
  <c r="B23" i="1"/>
  <c r="B14" i="1"/>
  <c r="B15" i="1"/>
  <c r="B16" i="1"/>
  <c r="B17" i="1"/>
  <c r="B18" i="1"/>
  <c r="B19" i="1"/>
  <c r="B13" i="1"/>
  <c r="B4" i="1"/>
  <c r="B5" i="1"/>
  <c r="B6" i="1"/>
  <c r="B7" i="1"/>
  <c r="B8" i="1"/>
  <c r="B9" i="1"/>
  <c r="B3" i="1"/>
  <c r="G3" i="1"/>
</calcChain>
</file>

<file path=xl/sharedStrings.xml><?xml version="1.0" encoding="utf-8"?>
<sst xmlns="http://schemas.openxmlformats.org/spreadsheetml/2006/main" count="25" uniqueCount="11">
  <si>
    <t>Input Size</t>
  </si>
  <si>
    <t>Allocation</t>
  </si>
  <si>
    <t>Naïve</t>
  </si>
  <si>
    <t>Host to Device</t>
  </si>
  <si>
    <t>Kernel</t>
  </si>
  <si>
    <t>Device to Host</t>
  </si>
  <si>
    <t>Setup</t>
  </si>
  <si>
    <t>Block Cyclic</t>
  </si>
  <si>
    <t>BC w/ Shared Mem</t>
  </si>
  <si>
    <t>log(Kernel)</t>
  </si>
  <si>
    <t>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</si>
</sst>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712729658792649"/>
          <c:y val="5.0925925925925923E-2"/>
          <c:w val="0.74759492563429575"/>
          <c:h val="0.77450474940632419"/>
        </c:manualLayout>
      </c:layout>
      <c:scatterChart>
        <c:scatterStyle val="lineMarker"/>
        <c:varyColors val="0"/>
        <c:ser>
          <c:idx val="0"/>
          <c:order val="0"/>
          <c:tx>
            <c:v>Naive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16</c:v>
                </c:pt>
                <c:pt idx="1">
                  <c:v>64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</c:numCache>
            </c:numRef>
          </c:xVal>
          <c:yVal>
            <c:numRef>
              <c:f>Sheet1!$C$3:$C$9</c:f>
              <c:numCache>
                <c:formatCode>General</c:formatCode>
                <c:ptCount val="7"/>
                <c:pt idx="0">
                  <c:v>1.1E-5</c:v>
                </c:pt>
                <c:pt idx="1">
                  <c:v>1.03E-4</c:v>
                </c:pt>
                <c:pt idx="2">
                  <c:v>8.5599999999999999E-4</c:v>
                </c:pt>
                <c:pt idx="3">
                  <c:v>5.2459999999999998E-3</c:v>
                </c:pt>
                <c:pt idx="4">
                  <c:v>2.0417999999999999E-2</c:v>
                </c:pt>
                <c:pt idx="5">
                  <c:v>7.9547999999999994E-2</c:v>
                </c:pt>
                <c:pt idx="6">
                  <c:v>0.49485200000000001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E5-4F08-B403-87D04AB9CAD0}"/>
            </c:ext>
          </c:extLst>
        </c:ser>
        <c:ser>
          <c:idx val="1"/>
          <c:order val="1"/>
          <c:tx>
            <c:v>Block Cyclic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16</c:v>
                </c:pt>
                <c:pt idx="1">
                  <c:v>64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</c:numCache>
            </c:numRef>
          </c:xVal>
          <c:yVal>
            <c:numRef>
              <c:f>Sheet1!$C$13:$C$19</c:f>
              <c:numCache>
                <c:formatCode>General</c:formatCode>
                <c:ptCount val="7"/>
                <c:pt idx="0">
                  <c:v>1.2999999999999999E-5</c:v>
                </c:pt>
                <c:pt idx="1">
                  <c:v>1.03E-4</c:v>
                </c:pt>
                <c:pt idx="2">
                  <c:v>8.4900000000000004E-4</c:v>
                </c:pt>
                <c:pt idx="3">
                  <c:v>5.2649999999999997E-3</c:v>
                </c:pt>
                <c:pt idx="4">
                  <c:v>2.0434000000000001E-2</c:v>
                </c:pt>
                <c:pt idx="5">
                  <c:v>7.9564999999999997E-2</c:v>
                </c:pt>
                <c:pt idx="6">
                  <c:v>0.49496800000000002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E5-4F08-B403-87D04AB9CAD0}"/>
            </c:ext>
          </c:extLst>
        </c:ser>
        <c:ser>
          <c:idx val="2"/>
          <c:order val="2"/>
          <c:tx>
            <c:v>BC w Shared Mem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16</c:v>
                </c:pt>
                <c:pt idx="1">
                  <c:v>64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</c:numCache>
            </c:numRef>
          </c:xVal>
          <c:yVal>
            <c:numRef>
              <c:f>Sheet1!$C$23:$C$29</c:f>
              <c:numCache>
                <c:formatCode>General</c:formatCode>
                <c:ptCount val="7"/>
                <c:pt idx="0">
                  <c:v>1.4E-5</c:v>
                </c:pt>
                <c:pt idx="1">
                  <c:v>1.03E-4</c:v>
                </c:pt>
                <c:pt idx="2">
                  <c:v>8.5499999999999997E-4</c:v>
                </c:pt>
                <c:pt idx="3">
                  <c:v>5.2440000000000004E-3</c:v>
                </c:pt>
                <c:pt idx="4">
                  <c:v>2.0438000000000001E-2</c:v>
                </c:pt>
                <c:pt idx="5">
                  <c:v>7.9559000000000005E-2</c:v>
                </c:pt>
                <c:pt idx="6">
                  <c:v>0.49493399999999999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0E5-4F08-B403-87D04AB9C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398240"/>
        <c:axId val="232183440"/>
      </c:scatterChart>
      <c:valAx>
        <c:axId val="13743982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Input</a:t>
                </a:r>
                <a:r>
                  <a:rPr lang="en-US" sz="105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 Size</a:t>
                </a:r>
                <a:endParaRPr lang="en-US" sz="1050">
                  <a:solidFill>
                    <a:sysClr val="windowText" lastClr="000000"/>
                  </a:solidFill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232183440"/>
        <c:crosses val="autoZero"/>
        <c:crossBetween val="midCat"/>
      </c:valAx>
      <c:valAx>
        <c:axId val="2321834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Setup Time (s)</a:t>
                </a:r>
              </a:p>
            </c:rich>
          </c:tx>
          <c:layout>
            <c:manualLayout>
              <c:xMode val="edge"/>
              <c:yMode val="edge"/>
              <c:x val="1.2120297462817146E-2"/>
              <c:y val="0.289676290463691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3743982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1951071741032369"/>
          <c:y val="7.6222347206599178E-2"/>
          <c:w val="0.28532895888013998"/>
          <c:h val="0.2058536432945881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34951881014873"/>
          <c:y val="5.0925925925925923E-2"/>
          <c:w val="0.77537270341207354"/>
          <c:h val="0.77450474940632419"/>
        </c:manualLayout>
      </c:layout>
      <c:scatterChart>
        <c:scatterStyle val="lineMarker"/>
        <c:varyColors val="0"/>
        <c:ser>
          <c:idx val="0"/>
          <c:order val="0"/>
          <c:tx>
            <c:v>Naive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16</c:v>
                </c:pt>
                <c:pt idx="1">
                  <c:v>64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</c:numCache>
            </c:numRef>
          </c:xVal>
          <c:yVal>
            <c:numRef>
              <c:f>Sheet1!$D$3:$D$9</c:f>
              <c:numCache>
                <c:formatCode>General</c:formatCode>
                <c:ptCount val="7"/>
                <c:pt idx="0">
                  <c:v>0.13134299999999999</c:v>
                </c:pt>
                <c:pt idx="1">
                  <c:v>0.11787300000000001</c:v>
                </c:pt>
                <c:pt idx="2">
                  <c:v>0.11658399999999999</c:v>
                </c:pt>
                <c:pt idx="3">
                  <c:v>0.117505</c:v>
                </c:pt>
                <c:pt idx="4">
                  <c:v>0.116747</c:v>
                </c:pt>
                <c:pt idx="5">
                  <c:v>0.118421</c:v>
                </c:pt>
                <c:pt idx="6">
                  <c:v>0.11883100000000001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0B-42D8-9C3A-3EFC1A8687C8}"/>
            </c:ext>
          </c:extLst>
        </c:ser>
        <c:ser>
          <c:idx val="1"/>
          <c:order val="1"/>
          <c:tx>
            <c:v>Block Cyclic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16</c:v>
                </c:pt>
                <c:pt idx="1">
                  <c:v>64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</c:numCache>
            </c:numRef>
          </c:xVal>
          <c:yVal>
            <c:numRef>
              <c:f>Sheet1!$D$13:$D$19</c:f>
              <c:numCache>
                <c:formatCode>General</c:formatCode>
                <c:ptCount val="7"/>
                <c:pt idx="0">
                  <c:v>0.117475</c:v>
                </c:pt>
                <c:pt idx="1">
                  <c:v>0.117988</c:v>
                </c:pt>
                <c:pt idx="2">
                  <c:v>0.116893</c:v>
                </c:pt>
                <c:pt idx="3">
                  <c:v>0.118979</c:v>
                </c:pt>
                <c:pt idx="4">
                  <c:v>0.11691500000000001</c:v>
                </c:pt>
                <c:pt idx="5">
                  <c:v>0.11820799999999999</c:v>
                </c:pt>
                <c:pt idx="6">
                  <c:v>0.11838700000000001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0B-42D8-9C3A-3EFC1A8687C8}"/>
            </c:ext>
          </c:extLst>
        </c:ser>
        <c:ser>
          <c:idx val="2"/>
          <c:order val="2"/>
          <c:tx>
            <c:v>BC w Shared Mem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16</c:v>
                </c:pt>
                <c:pt idx="1">
                  <c:v>64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</c:numCache>
            </c:numRef>
          </c:xVal>
          <c:yVal>
            <c:numRef>
              <c:f>Sheet1!$D$23:$D$29</c:f>
              <c:numCache>
                <c:formatCode>General</c:formatCode>
                <c:ptCount val="7"/>
                <c:pt idx="0">
                  <c:v>0.117405</c:v>
                </c:pt>
                <c:pt idx="1">
                  <c:v>0.117837</c:v>
                </c:pt>
                <c:pt idx="2">
                  <c:v>0.116941</c:v>
                </c:pt>
                <c:pt idx="3">
                  <c:v>0.117837</c:v>
                </c:pt>
                <c:pt idx="4">
                  <c:v>0.11718099999999999</c:v>
                </c:pt>
                <c:pt idx="5">
                  <c:v>0.118131</c:v>
                </c:pt>
                <c:pt idx="6">
                  <c:v>0.118447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0B-42D8-9C3A-3EFC1A868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398240"/>
        <c:axId val="232183440"/>
      </c:scatterChart>
      <c:valAx>
        <c:axId val="13743982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Input</a:t>
                </a:r>
                <a:r>
                  <a:rPr lang="en-US" sz="105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 Size</a:t>
                </a:r>
                <a:endParaRPr lang="en-US" sz="1050">
                  <a:solidFill>
                    <a:sysClr val="windowText" lastClr="000000"/>
                  </a:solidFill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232183440"/>
        <c:crosses val="autoZero"/>
        <c:crossBetween val="midCat"/>
      </c:valAx>
      <c:valAx>
        <c:axId val="232183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Device Memory Allocation Time (s)</a:t>
                </a:r>
              </a:p>
            </c:rich>
          </c:tx>
          <c:layout>
            <c:manualLayout>
              <c:xMode val="edge"/>
              <c:yMode val="edge"/>
              <c:x val="2.3231408573928261E-2"/>
              <c:y val="0.1071366079240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3743982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1951071741032369"/>
          <c:y val="0.43336520434945641"/>
          <c:w val="0.28532895888013998"/>
          <c:h val="0.2058536432945881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990507436570429"/>
          <c:y val="5.0925821772278466E-2"/>
          <c:w val="0.74481714785651798"/>
          <c:h val="0.77450474940632419"/>
        </c:manualLayout>
      </c:layout>
      <c:scatterChart>
        <c:scatterStyle val="lineMarker"/>
        <c:varyColors val="0"/>
        <c:ser>
          <c:idx val="0"/>
          <c:order val="0"/>
          <c:tx>
            <c:v>Naive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16</c:v>
                </c:pt>
                <c:pt idx="1">
                  <c:v>64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</c:numCache>
            </c:numRef>
          </c:xVal>
          <c:yVal>
            <c:numRef>
              <c:f>Sheet1!$E$3:$E$9</c:f>
              <c:numCache>
                <c:formatCode>General</c:formatCode>
                <c:ptCount val="7"/>
                <c:pt idx="0">
                  <c:v>4.0000000000000003E-5</c:v>
                </c:pt>
                <c:pt idx="1">
                  <c:v>5.8E-5</c:v>
                </c:pt>
                <c:pt idx="2">
                  <c:v>9.2E-5</c:v>
                </c:pt>
                <c:pt idx="3">
                  <c:v>3.3100000000000002E-4</c:v>
                </c:pt>
                <c:pt idx="4">
                  <c:v>1.0300000000000001E-3</c:v>
                </c:pt>
                <c:pt idx="5">
                  <c:v>3.5439999999999998E-3</c:v>
                </c:pt>
                <c:pt idx="6">
                  <c:v>2.1155E-2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9D-4A3B-9662-CC09F637E66F}"/>
            </c:ext>
          </c:extLst>
        </c:ser>
        <c:ser>
          <c:idx val="1"/>
          <c:order val="1"/>
          <c:tx>
            <c:v>Block Cyclic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16</c:v>
                </c:pt>
                <c:pt idx="1">
                  <c:v>64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</c:numCache>
            </c:numRef>
          </c:xVal>
          <c:yVal>
            <c:numRef>
              <c:f>Sheet1!$E$13:$E$19</c:f>
              <c:numCache>
                <c:formatCode>General</c:formatCode>
                <c:ptCount val="7"/>
                <c:pt idx="0">
                  <c:v>4.6E-5</c:v>
                </c:pt>
                <c:pt idx="1">
                  <c:v>5.8E-5</c:v>
                </c:pt>
                <c:pt idx="2">
                  <c:v>9.0000000000000006E-5</c:v>
                </c:pt>
                <c:pt idx="3">
                  <c:v>3.3100000000000002E-4</c:v>
                </c:pt>
                <c:pt idx="4">
                  <c:v>1.0200000000000001E-3</c:v>
                </c:pt>
                <c:pt idx="5">
                  <c:v>3.5239999999999998E-3</c:v>
                </c:pt>
                <c:pt idx="6">
                  <c:v>2.1173000000000001E-2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9D-4A3B-9662-CC09F637E66F}"/>
            </c:ext>
          </c:extLst>
        </c:ser>
        <c:ser>
          <c:idx val="2"/>
          <c:order val="2"/>
          <c:tx>
            <c:v>BC w Shared Mem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16</c:v>
                </c:pt>
                <c:pt idx="1">
                  <c:v>64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</c:numCache>
            </c:numRef>
          </c:xVal>
          <c:yVal>
            <c:numRef>
              <c:f>Sheet1!$E$23:$E$29</c:f>
              <c:numCache>
                <c:formatCode>General</c:formatCode>
                <c:ptCount val="7"/>
                <c:pt idx="0">
                  <c:v>4.0000000000000003E-5</c:v>
                </c:pt>
                <c:pt idx="1">
                  <c:v>5.8E-5</c:v>
                </c:pt>
                <c:pt idx="2">
                  <c:v>9.2999999999999997E-5</c:v>
                </c:pt>
                <c:pt idx="3">
                  <c:v>3.3100000000000002E-4</c:v>
                </c:pt>
                <c:pt idx="4">
                  <c:v>1.0300000000000001E-3</c:v>
                </c:pt>
                <c:pt idx="5">
                  <c:v>3.5349999999999999E-3</c:v>
                </c:pt>
                <c:pt idx="6">
                  <c:v>2.1156000000000001E-2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9D-4A3B-9662-CC09F637E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398240"/>
        <c:axId val="232183440"/>
      </c:scatterChart>
      <c:valAx>
        <c:axId val="13743982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Input</a:t>
                </a:r>
                <a:r>
                  <a:rPr lang="en-US" sz="105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 Size</a:t>
                </a:r>
                <a:endParaRPr lang="en-US" sz="1050">
                  <a:solidFill>
                    <a:sysClr val="windowText" lastClr="000000"/>
                  </a:solidFill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232183440"/>
        <c:crosses val="autoZero"/>
        <c:crossBetween val="midCat"/>
      </c:valAx>
      <c:valAx>
        <c:axId val="2321834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Copy Host to Device Time (s)</a:t>
                </a:r>
              </a:p>
            </c:rich>
          </c:tx>
          <c:layout>
            <c:manualLayout>
              <c:xMode val="edge"/>
              <c:yMode val="edge"/>
              <c:x val="2.3231408573928261E-2"/>
              <c:y val="0.1071366079240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3743982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3339960629921261"/>
          <c:y val="0.15558742657167851"/>
          <c:w val="0.28532895888013998"/>
          <c:h val="0.2058536432945881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68285214348203"/>
          <c:y val="5.0925821772278466E-2"/>
          <c:w val="0.76703937007874023"/>
          <c:h val="0.77450474940632419"/>
        </c:manualLayout>
      </c:layout>
      <c:scatterChart>
        <c:scatterStyle val="lineMarker"/>
        <c:varyColors val="0"/>
        <c:ser>
          <c:idx val="0"/>
          <c:order val="0"/>
          <c:tx>
            <c:v>Naive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16</c:v>
                </c:pt>
                <c:pt idx="1">
                  <c:v>64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</c:numCache>
            </c:numRef>
          </c:xVal>
          <c:yVal>
            <c:numRef>
              <c:f>Sheet1!$F$3:$F$9</c:f>
              <c:numCache>
                <c:formatCode>General</c:formatCode>
                <c:ptCount val="7"/>
                <c:pt idx="0">
                  <c:v>0.10183499999999999</c:v>
                </c:pt>
                <c:pt idx="1">
                  <c:v>0.10129100000000001</c:v>
                </c:pt>
                <c:pt idx="2">
                  <c:v>0.102618</c:v>
                </c:pt>
                <c:pt idx="3">
                  <c:v>0.105834</c:v>
                </c:pt>
                <c:pt idx="4">
                  <c:v>0.11339200000000001</c:v>
                </c:pt>
                <c:pt idx="5">
                  <c:v>0.148341</c:v>
                </c:pt>
                <c:pt idx="6">
                  <c:v>0.59942300000000004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33-4913-8A35-7CE6624078B4}"/>
            </c:ext>
          </c:extLst>
        </c:ser>
        <c:ser>
          <c:idx val="1"/>
          <c:order val="1"/>
          <c:tx>
            <c:v>Block Cyclic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16</c:v>
                </c:pt>
                <c:pt idx="1">
                  <c:v>64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</c:numCache>
            </c:numRef>
          </c:xVal>
          <c:yVal>
            <c:numRef>
              <c:f>Sheet1!$F$13:$F$19</c:f>
              <c:numCache>
                <c:formatCode>General</c:formatCode>
                <c:ptCount val="7"/>
                <c:pt idx="0">
                  <c:v>0.100952</c:v>
                </c:pt>
                <c:pt idx="1">
                  <c:v>0.100843</c:v>
                </c:pt>
                <c:pt idx="2">
                  <c:v>0.10161100000000001</c:v>
                </c:pt>
                <c:pt idx="3">
                  <c:v>0.104408</c:v>
                </c:pt>
                <c:pt idx="4">
                  <c:v>0.116745</c:v>
                </c:pt>
                <c:pt idx="5">
                  <c:v>0.20832700000000001</c:v>
                </c:pt>
                <c:pt idx="6">
                  <c:v>2.0407730000000002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33-4913-8A35-7CE6624078B4}"/>
            </c:ext>
          </c:extLst>
        </c:ser>
        <c:ser>
          <c:idx val="2"/>
          <c:order val="2"/>
          <c:tx>
            <c:v>BC w Shared Mem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16</c:v>
                </c:pt>
                <c:pt idx="1">
                  <c:v>64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</c:numCache>
            </c:numRef>
          </c:xVal>
          <c:yVal>
            <c:numRef>
              <c:f>Sheet1!$F$23:$F$29</c:f>
              <c:numCache>
                <c:formatCode>General</c:formatCode>
                <c:ptCount val="7"/>
                <c:pt idx="0">
                  <c:v>0.10178</c:v>
                </c:pt>
                <c:pt idx="1">
                  <c:v>0.100756</c:v>
                </c:pt>
                <c:pt idx="2">
                  <c:v>0.10119599999999999</c:v>
                </c:pt>
                <c:pt idx="3">
                  <c:v>0.103023</c:v>
                </c:pt>
                <c:pt idx="4">
                  <c:v>0.11135100000000001</c:v>
                </c:pt>
                <c:pt idx="5">
                  <c:v>0.16833600000000001</c:v>
                </c:pt>
                <c:pt idx="6">
                  <c:v>0.94837199999999999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33-4913-8A35-7CE662407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398240"/>
        <c:axId val="232183440"/>
      </c:scatterChart>
      <c:valAx>
        <c:axId val="13743982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Input</a:t>
                </a:r>
                <a:r>
                  <a:rPr lang="en-US" sz="105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 Size</a:t>
                </a:r>
                <a:endParaRPr lang="en-US" sz="1050">
                  <a:solidFill>
                    <a:sysClr val="windowText" lastClr="000000"/>
                  </a:solidFill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232183440"/>
        <c:crosses val="autoZero"/>
        <c:crossBetween val="midCat"/>
      </c:valAx>
      <c:valAx>
        <c:axId val="23218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Kernel Execution Time (s)</a:t>
                </a:r>
              </a:p>
            </c:rich>
          </c:tx>
          <c:layout>
            <c:manualLayout>
              <c:xMode val="edge"/>
              <c:yMode val="edge"/>
              <c:x val="2.3231408573928261E-2"/>
              <c:y val="0.1071366079240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3743982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3339960629921261"/>
          <c:y val="0.15558742657167851"/>
          <c:w val="0.28532895888013998"/>
          <c:h val="0.2058536432945881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990507436570429"/>
          <c:y val="5.0925821772278466E-2"/>
          <c:w val="0.74481714785651798"/>
          <c:h val="0.77450474940632419"/>
        </c:manualLayout>
      </c:layout>
      <c:scatterChart>
        <c:scatterStyle val="lineMarker"/>
        <c:varyColors val="0"/>
        <c:ser>
          <c:idx val="0"/>
          <c:order val="0"/>
          <c:tx>
            <c:v>Naive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16</c:v>
                </c:pt>
                <c:pt idx="1">
                  <c:v>64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</c:numCache>
            </c:numRef>
          </c:xVal>
          <c:yVal>
            <c:numRef>
              <c:f>Sheet1!$H$3:$H$9</c:f>
              <c:numCache>
                <c:formatCode>General</c:formatCode>
                <c:ptCount val="7"/>
                <c:pt idx="0">
                  <c:v>2.3E-5</c:v>
                </c:pt>
                <c:pt idx="1">
                  <c:v>2.6999999999999999E-5</c:v>
                </c:pt>
                <c:pt idx="2">
                  <c:v>1.76E-4</c:v>
                </c:pt>
                <c:pt idx="3">
                  <c:v>9.5600000000000004E-4</c:v>
                </c:pt>
                <c:pt idx="4">
                  <c:v>2.477E-3</c:v>
                </c:pt>
                <c:pt idx="5">
                  <c:v>6.3619999999999996E-3</c:v>
                </c:pt>
                <c:pt idx="6">
                  <c:v>3.5855999999999999E-2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7B-4336-812A-CF485980485C}"/>
            </c:ext>
          </c:extLst>
        </c:ser>
        <c:ser>
          <c:idx val="1"/>
          <c:order val="1"/>
          <c:tx>
            <c:v>Block Cyclic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16</c:v>
                </c:pt>
                <c:pt idx="1">
                  <c:v>64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</c:numCache>
            </c:numRef>
          </c:xVal>
          <c:yVal>
            <c:numRef>
              <c:f>Sheet1!$H$13:$H$19</c:f>
              <c:numCache>
                <c:formatCode>General</c:formatCode>
                <c:ptCount val="7"/>
                <c:pt idx="0">
                  <c:v>2.4000000000000001E-5</c:v>
                </c:pt>
                <c:pt idx="1">
                  <c:v>2.6999999999999999E-5</c:v>
                </c:pt>
                <c:pt idx="2">
                  <c:v>1.7899999999999999E-4</c:v>
                </c:pt>
                <c:pt idx="3">
                  <c:v>9.41E-4</c:v>
                </c:pt>
                <c:pt idx="4">
                  <c:v>2.47E-3</c:v>
                </c:pt>
                <c:pt idx="5">
                  <c:v>6.3850000000000001E-3</c:v>
                </c:pt>
                <c:pt idx="6">
                  <c:v>3.5729999999999998E-2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7B-4336-812A-CF485980485C}"/>
            </c:ext>
          </c:extLst>
        </c:ser>
        <c:ser>
          <c:idx val="2"/>
          <c:order val="2"/>
          <c:tx>
            <c:v>BC w Shared Mem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16</c:v>
                </c:pt>
                <c:pt idx="1">
                  <c:v>64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</c:numCache>
            </c:numRef>
          </c:xVal>
          <c:yVal>
            <c:numRef>
              <c:f>Sheet1!$H$23:$H$29</c:f>
              <c:numCache>
                <c:formatCode>General</c:formatCode>
                <c:ptCount val="7"/>
                <c:pt idx="0">
                  <c:v>2.3E-5</c:v>
                </c:pt>
                <c:pt idx="1">
                  <c:v>2.8E-5</c:v>
                </c:pt>
                <c:pt idx="2">
                  <c:v>1.85E-4</c:v>
                </c:pt>
                <c:pt idx="3">
                  <c:v>9.3999999999999997E-4</c:v>
                </c:pt>
                <c:pt idx="4">
                  <c:v>2.467E-3</c:v>
                </c:pt>
                <c:pt idx="5">
                  <c:v>6.3920000000000001E-3</c:v>
                </c:pt>
                <c:pt idx="6">
                  <c:v>3.5791999999999997E-2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7B-4336-812A-CF4859804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398240"/>
        <c:axId val="232183440"/>
      </c:scatterChart>
      <c:valAx>
        <c:axId val="13743982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Input</a:t>
                </a:r>
                <a:r>
                  <a:rPr lang="en-US" sz="105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 Size</a:t>
                </a:r>
                <a:endParaRPr lang="en-US" sz="1050">
                  <a:solidFill>
                    <a:sysClr val="windowText" lastClr="000000"/>
                  </a:solidFill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232183440"/>
        <c:crosses val="autoZero"/>
        <c:crossBetween val="midCat"/>
      </c:valAx>
      <c:valAx>
        <c:axId val="2321834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Copy Device to Host Time (s)</a:t>
                </a:r>
              </a:p>
            </c:rich>
          </c:tx>
          <c:layout>
            <c:manualLayout>
              <c:xMode val="edge"/>
              <c:yMode val="edge"/>
              <c:x val="2.3231408573928261E-2"/>
              <c:y val="0.1071366079240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3743982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3339960629921261"/>
          <c:y val="0.15558742657167851"/>
          <c:w val="0.28532895888013998"/>
          <c:h val="0.2058536432945881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990507436570429"/>
          <c:y val="5.0925821772278466E-2"/>
          <c:w val="0.74481714785651798"/>
          <c:h val="0.77450474940632419"/>
        </c:manualLayout>
      </c:layout>
      <c:scatterChart>
        <c:scatterStyle val="lineMarker"/>
        <c:varyColors val="0"/>
        <c:ser>
          <c:idx val="0"/>
          <c:order val="0"/>
          <c:tx>
            <c:v>Naive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Sheet1!$B$3:$B$9</c:f>
              <c:numCache>
                <c:formatCode>General</c:formatCode>
                <c:ptCount val="7"/>
                <c:pt idx="0">
                  <c:v>256</c:v>
                </c:pt>
                <c:pt idx="1">
                  <c:v>4096</c:v>
                </c:pt>
                <c:pt idx="2">
                  <c:v>40000</c:v>
                </c:pt>
                <c:pt idx="3">
                  <c:v>250000</c:v>
                </c:pt>
                <c:pt idx="4">
                  <c:v>1000000</c:v>
                </c:pt>
                <c:pt idx="5">
                  <c:v>4000000</c:v>
                </c:pt>
                <c:pt idx="6">
                  <c:v>25000000</c:v>
                </c:pt>
              </c:numCache>
            </c:numRef>
          </c:xVal>
          <c:yVal>
            <c:numRef>
              <c:f>Sheet1!$E$3:$E$9</c:f>
              <c:numCache>
                <c:formatCode>General</c:formatCode>
                <c:ptCount val="7"/>
                <c:pt idx="0">
                  <c:v>4.0000000000000003E-5</c:v>
                </c:pt>
                <c:pt idx="1">
                  <c:v>5.8E-5</c:v>
                </c:pt>
                <c:pt idx="2">
                  <c:v>9.2E-5</c:v>
                </c:pt>
                <c:pt idx="3">
                  <c:v>3.3100000000000002E-4</c:v>
                </c:pt>
                <c:pt idx="4">
                  <c:v>1.0300000000000001E-3</c:v>
                </c:pt>
                <c:pt idx="5">
                  <c:v>3.5439999999999998E-3</c:v>
                </c:pt>
                <c:pt idx="6">
                  <c:v>2.1155E-2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D1-4D22-B611-E35A17C70B94}"/>
            </c:ext>
          </c:extLst>
        </c:ser>
        <c:ser>
          <c:idx val="1"/>
          <c:order val="1"/>
          <c:tx>
            <c:v>Block Cyclic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Sheet1!$B$13:$B$19</c:f>
              <c:numCache>
                <c:formatCode>General</c:formatCode>
                <c:ptCount val="7"/>
                <c:pt idx="0">
                  <c:v>256</c:v>
                </c:pt>
                <c:pt idx="1">
                  <c:v>4096</c:v>
                </c:pt>
                <c:pt idx="2">
                  <c:v>40000</c:v>
                </c:pt>
                <c:pt idx="3">
                  <c:v>250000</c:v>
                </c:pt>
                <c:pt idx="4">
                  <c:v>1000000</c:v>
                </c:pt>
                <c:pt idx="5">
                  <c:v>4000000</c:v>
                </c:pt>
                <c:pt idx="6">
                  <c:v>25000000</c:v>
                </c:pt>
              </c:numCache>
            </c:numRef>
          </c:xVal>
          <c:yVal>
            <c:numRef>
              <c:f>Sheet1!$E$13:$E$19</c:f>
              <c:numCache>
                <c:formatCode>General</c:formatCode>
                <c:ptCount val="7"/>
                <c:pt idx="0">
                  <c:v>4.6E-5</c:v>
                </c:pt>
                <c:pt idx="1">
                  <c:v>5.8E-5</c:v>
                </c:pt>
                <c:pt idx="2">
                  <c:v>9.0000000000000006E-5</c:v>
                </c:pt>
                <c:pt idx="3">
                  <c:v>3.3100000000000002E-4</c:v>
                </c:pt>
                <c:pt idx="4">
                  <c:v>1.0200000000000001E-3</c:v>
                </c:pt>
                <c:pt idx="5">
                  <c:v>3.5239999999999998E-3</c:v>
                </c:pt>
                <c:pt idx="6">
                  <c:v>2.1173000000000001E-2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D1-4D22-B611-E35A17C70B94}"/>
            </c:ext>
          </c:extLst>
        </c:ser>
        <c:ser>
          <c:idx val="2"/>
          <c:order val="2"/>
          <c:tx>
            <c:v>BC w Shared Mem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Sheet1!$B$23:$B$29</c:f>
              <c:numCache>
                <c:formatCode>General</c:formatCode>
                <c:ptCount val="7"/>
                <c:pt idx="0">
                  <c:v>256</c:v>
                </c:pt>
                <c:pt idx="1">
                  <c:v>4096</c:v>
                </c:pt>
                <c:pt idx="2">
                  <c:v>40000</c:v>
                </c:pt>
                <c:pt idx="3">
                  <c:v>250000</c:v>
                </c:pt>
                <c:pt idx="4">
                  <c:v>1000000</c:v>
                </c:pt>
                <c:pt idx="5">
                  <c:v>4000000</c:v>
                </c:pt>
                <c:pt idx="6">
                  <c:v>25000000</c:v>
                </c:pt>
              </c:numCache>
            </c:numRef>
          </c:xVal>
          <c:yVal>
            <c:numRef>
              <c:f>Sheet1!$E$23:$E$29</c:f>
              <c:numCache>
                <c:formatCode>General</c:formatCode>
                <c:ptCount val="7"/>
                <c:pt idx="0">
                  <c:v>4.0000000000000003E-5</c:v>
                </c:pt>
                <c:pt idx="1">
                  <c:v>5.8E-5</c:v>
                </c:pt>
                <c:pt idx="2">
                  <c:v>9.2999999999999997E-5</c:v>
                </c:pt>
                <c:pt idx="3">
                  <c:v>3.3100000000000002E-4</c:v>
                </c:pt>
                <c:pt idx="4">
                  <c:v>1.0300000000000001E-3</c:v>
                </c:pt>
                <c:pt idx="5">
                  <c:v>3.5349999999999999E-3</c:v>
                </c:pt>
                <c:pt idx="6">
                  <c:v>2.1156000000000001E-2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D1-4D22-B611-E35A17C70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398240"/>
        <c:axId val="232183440"/>
      </c:scatterChart>
      <c:valAx>
        <c:axId val="1374398240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Input 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232183440"/>
        <c:crosses val="autoZero"/>
        <c:crossBetween val="midCat"/>
      </c:valAx>
      <c:valAx>
        <c:axId val="2321834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Copy Host to Device Time (s)</a:t>
                </a:r>
              </a:p>
            </c:rich>
          </c:tx>
          <c:layout>
            <c:manualLayout>
              <c:xMode val="edge"/>
              <c:yMode val="edge"/>
              <c:x val="2.3231408573928261E-2"/>
              <c:y val="0.1071366079240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3743982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3339960629921261"/>
          <c:y val="0.15558742657167851"/>
          <c:w val="0.28532895888013998"/>
          <c:h val="0.2058536432945881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470807</xdr:colOff>
      <xdr:row>1</xdr:row>
      <xdr:rowOff>146957</xdr:rowOff>
    </xdr:from>
    <xdr:to>
      <xdr:col>15</xdr:col>
      <xdr:colOff>470807</xdr:colOff>
      <xdr:row>19</xdr:row>
      <xdr:rowOff>16328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8A44A7-2E2F-372C-B860-44F8F2EFC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543966</xdr:colOff>
      <xdr:row>1</xdr:row>
      <xdr:rowOff>41942</xdr:rowOff>
    </xdr:from>
    <xdr:to>
      <xdr:col>22</xdr:col>
      <xdr:colOff>543966</xdr:colOff>
      <xdr:row>18</xdr:row>
      <xdr:rowOff>96371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F56879-6DEE-4F69-9EBC-DFFFB75CE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517072</xdr:colOff>
      <xdr:row>19</xdr:row>
      <xdr:rowOff>125186</xdr:rowOff>
    </xdr:from>
    <xdr:to>
      <xdr:col>15</xdr:col>
      <xdr:colOff>517072</xdr:colOff>
      <xdr:row>36</xdr:row>
      <xdr:rowOff>179615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504871-6E7A-4A32-926B-FD9ACC7A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172891</xdr:colOff>
      <xdr:row>19</xdr:row>
      <xdr:rowOff>108857</xdr:rowOff>
    </xdr:from>
    <xdr:to>
      <xdr:col>23</xdr:col>
      <xdr:colOff>172891</xdr:colOff>
      <xdr:row>36</xdr:row>
      <xdr:rowOff>163286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5D7F14-9C00-45F9-B2CA-7557FE480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614723</xdr:colOff>
      <xdr:row>37</xdr:row>
      <xdr:rowOff>25613</xdr:rowOff>
    </xdr:from>
    <xdr:to>
      <xdr:col>15</xdr:col>
      <xdr:colOff>614723</xdr:colOff>
      <xdr:row>54</xdr:row>
      <xdr:rowOff>80042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16586A-15F0-4631-A3C8-3C3B01CDF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371395</xdr:colOff>
      <xdr:row>30</xdr:row>
      <xdr:rowOff>140874</xdr:rowOff>
    </xdr:from>
    <xdr:to>
      <xdr:col>7</xdr:col>
      <xdr:colOff>403411</xdr:colOff>
      <xdr:row>48</xdr:row>
      <xdr:rowOff>9606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20CAB8-E5B4-414A-839C-11F9242B3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A16" zoomScale="85" zoomScaleNormal="85" workbookViewId="0">
      <selection activeCell="F52" sqref="F52"/>
    </sheetView>
  </sheetViews>
  <sheetFormatPr defaultRowHeight="14.6" x14ac:dyDescent="0.4"/>
  <cols>
    <col min="5" max="5" width="12.765625" bestFit="1" customWidth="1"/>
    <col min="8" max="8" width="12.765625" bestFit="1" customWidth="1"/>
  </cols>
  <sheetData>
    <row r="1" spans="1:8" x14ac:dyDescent="0.4">
      <c r="A1" t="s">
        <v>2</v>
      </c>
    </row>
    <row r="2" spans="1:8" x14ac:dyDescent="0.4">
      <c r="A2" t="s">
        <v>0</v>
      </c>
      <c r="B2" t="s">
        <v>10</v>
      </c>
      <c r="C2" t="s">
        <v>6</v>
      </c>
      <c r="D2" t="s">
        <v>1</v>
      </c>
      <c r="E2" t="s">
        <v>3</v>
      </c>
      <c r="F2" t="s">
        <v>4</v>
      </c>
      <c r="G2" t="s">
        <v>9</v>
      </c>
      <c r="H2" t="s">
        <v>5</v>
      </c>
    </row>
    <row r="3" spans="1:8" x14ac:dyDescent="0.4">
      <c r="A3">
        <v>16</v>
      </c>
      <c r="B3">
        <f>A3*A3</f>
        <v>256</v>
      </c>
      <c r="C3">
        <v>1.1E-5</v>
      </c>
      <c r="D3">
        <v>0.13134299999999999</v>
      </c>
      <c r="E3">
        <v>4.0000000000000003E-5</v>
      </c>
      <c r="F3">
        <v>0.10183499999999999</v>
      </c>
      <c r="G3">
        <f>LOH1</f>
        <v>0</v>
      </c>
      <c r="H3">
        <v>2.3E-5</v>
      </c>
    </row>
    <row r="4" spans="1:8" x14ac:dyDescent="0.4">
      <c r="A4">
        <v>64</v>
      </c>
      <c r="B4">
        <f t="shared" ref="B4:B9" si="0">A4*A4</f>
        <v>4096</v>
      </c>
      <c r="C4">
        <v>1.03E-4</v>
      </c>
      <c r="D4">
        <v>0.11787300000000001</v>
      </c>
      <c r="E4">
        <v>5.8E-5</v>
      </c>
      <c r="F4">
        <v>0.10129100000000001</v>
      </c>
      <c r="H4">
        <v>2.6999999999999999E-5</v>
      </c>
    </row>
    <row r="5" spans="1:8" x14ac:dyDescent="0.4">
      <c r="A5">
        <v>200</v>
      </c>
      <c r="B5">
        <f t="shared" si="0"/>
        <v>40000</v>
      </c>
      <c r="C5">
        <v>8.5599999999999999E-4</v>
      </c>
      <c r="D5">
        <v>0.11658399999999999</v>
      </c>
      <c r="E5">
        <v>9.2E-5</v>
      </c>
      <c r="F5">
        <v>0.102618</v>
      </c>
      <c r="H5">
        <v>1.76E-4</v>
      </c>
    </row>
    <row r="6" spans="1:8" x14ac:dyDescent="0.4">
      <c r="A6">
        <v>500</v>
      </c>
      <c r="B6">
        <f t="shared" si="0"/>
        <v>250000</v>
      </c>
      <c r="C6">
        <v>5.2459999999999998E-3</v>
      </c>
      <c r="D6">
        <v>0.117505</v>
      </c>
      <c r="E6">
        <v>3.3100000000000002E-4</v>
      </c>
      <c r="F6">
        <v>0.105834</v>
      </c>
      <c r="H6">
        <v>9.5600000000000004E-4</v>
      </c>
    </row>
    <row r="7" spans="1:8" x14ac:dyDescent="0.4">
      <c r="A7">
        <v>1000</v>
      </c>
      <c r="B7">
        <f t="shared" si="0"/>
        <v>1000000</v>
      </c>
      <c r="C7">
        <v>2.0417999999999999E-2</v>
      </c>
      <c r="D7">
        <v>0.116747</v>
      </c>
      <c r="E7">
        <v>1.0300000000000001E-3</v>
      </c>
      <c r="F7">
        <v>0.11339200000000001</v>
      </c>
      <c r="H7">
        <v>2.477E-3</v>
      </c>
    </row>
    <row r="8" spans="1:8" x14ac:dyDescent="0.4">
      <c r="A8">
        <v>2000</v>
      </c>
      <c r="B8">
        <f t="shared" si="0"/>
        <v>4000000</v>
      </c>
      <c r="C8">
        <v>7.9547999999999994E-2</v>
      </c>
      <c r="D8">
        <v>0.118421</v>
      </c>
      <c r="E8">
        <v>3.5439999999999998E-3</v>
      </c>
      <c r="F8">
        <v>0.148341</v>
      </c>
      <c r="H8">
        <v>6.3619999999999996E-3</v>
      </c>
    </row>
    <row r="9" spans="1:8" x14ac:dyDescent="0.4">
      <c r="A9">
        <v>5000</v>
      </c>
      <c r="B9">
        <f t="shared" si="0"/>
        <v>25000000</v>
      </c>
      <c r="C9">
        <v>0.49485200000000001</v>
      </c>
      <c r="D9">
        <v>0.11883100000000001</v>
      </c>
      <c r="E9">
        <v>2.1155E-2</v>
      </c>
      <c r="F9">
        <v>0.59942300000000004</v>
      </c>
      <c r="H9">
        <v>3.5855999999999999E-2</v>
      </c>
    </row>
    <row r="11" spans="1:8" x14ac:dyDescent="0.4">
      <c r="A11" t="s">
        <v>7</v>
      </c>
    </row>
    <row r="12" spans="1:8" x14ac:dyDescent="0.4">
      <c r="A12" t="s">
        <v>0</v>
      </c>
      <c r="B12" t="s">
        <v>10</v>
      </c>
      <c r="C12" t="s">
        <v>6</v>
      </c>
      <c r="D12" t="s">
        <v>1</v>
      </c>
      <c r="E12" t="s">
        <v>3</v>
      </c>
      <c r="F12" t="s">
        <v>4</v>
      </c>
      <c r="H12" t="s">
        <v>5</v>
      </c>
    </row>
    <row r="13" spans="1:8" x14ac:dyDescent="0.4">
      <c r="A13">
        <v>16</v>
      </c>
      <c r="B13">
        <f>A13*A13</f>
        <v>256</v>
      </c>
      <c r="C13">
        <v>1.2999999999999999E-5</v>
      </c>
      <c r="D13">
        <v>0.117475</v>
      </c>
      <c r="E13">
        <v>4.6E-5</v>
      </c>
      <c r="F13">
        <v>0.100952</v>
      </c>
      <c r="H13">
        <v>2.4000000000000001E-5</v>
      </c>
    </row>
    <row r="14" spans="1:8" x14ac:dyDescent="0.4">
      <c r="A14">
        <v>64</v>
      </c>
      <c r="B14">
        <f t="shared" ref="B14:B19" si="1">A14*A14</f>
        <v>4096</v>
      </c>
      <c r="C14">
        <v>1.03E-4</v>
      </c>
      <c r="D14">
        <v>0.117988</v>
      </c>
      <c r="E14">
        <v>5.8E-5</v>
      </c>
      <c r="F14">
        <v>0.100843</v>
      </c>
      <c r="H14">
        <v>2.6999999999999999E-5</v>
      </c>
    </row>
    <row r="15" spans="1:8" x14ac:dyDescent="0.4">
      <c r="A15">
        <v>200</v>
      </c>
      <c r="B15">
        <f t="shared" si="1"/>
        <v>40000</v>
      </c>
      <c r="C15">
        <v>8.4900000000000004E-4</v>
      </c>
      <c r="D15">
        <v>0.116893</v>
      </c>
      <c r="E15">
        <v>9.0000000000000006E-5</v>
      </c>
      <c r="F15">
        <v>0.10161100000000001</v>
      </c>
      <c r="H15">
        <v>1.7899999999999999E-4</v>
      </c>
    </row>
    <row r="16" spans="1:8" x14ac:dyDescent="0.4">
      <c r="A16">
        <v>500</v>
      </c>
      <c r="B16">
        <f t="shared" si="1"/>
        <v>250000</v>
      </c>
      <c r="C16">
        <v>5.2649999999999997E-3</v>
      </c>
      <c r="D16">
        <v>0.118979</v>
      </c>
      <c r="E16">
        <v>3.3100000000000002E-4</v>
      </c>
      <c r="F16">
        <v>0.104408</v>
      </c>
      <c r="H16">
        <v>9.41E-4</v>
      </c>
    </row>
    <row r="17" spans="1:8" x14ac:dyDescent="0.4">
      <c r="A17">
        <v>1000</v>
      </c>
      <c r="B17">
        <f t="shared" si="1"/>
        <v>1000000</v>
      </c>
      <c r="C17">
        <v>2.0434000000000001E-2</v>
      </c>
      <c r="D17">
        <v>0.11691500000000001</v>
      </c>
      <c r="E17">
        <v>1.0200000000000001E-3</v>
      </c>
      <c r="F17">
        <v>0.116745</v>
      </c>
      <c r="H17">
        <v>2.47E-3</v>
      </c>
    </row>
    <row r="18" spans="1:8" x14ac:dyDescent="0.4">
      <c r="A18">
        <v>2000</v>
      </c>
      <c r="B18">
        <f t="shared" si="1"/>
        <v>4000000</v>
      </c>
      <c r="C18">
        <v>7.9564999999999997E-2</v>
      </c>
      <c r="D18">
        <v>0.11820799999999999</v>
      </c>
      <c r="E18">
        <v>3.5239999999999998E-3</v>
      </c>
      <c r="F18">
        <v>0.20832700000000001</v>
      </c>
      <c r="H18">
        <v>6.3850000000000001E-3</v>
      </c>
    </row>
    <row r="19" spans="1:8" x14ac:dyDescent="0.4">
      <c r="A19">
        <v>5000</v>
      </c>
      <c r="B19">
        <f t="shared" si="1"/>
        <v>25000000</v>
      </c>
      <c r="C19">
        <v>0.49496800000000002</v>
      </c>
      <c r="D19">
        <v>0.11838700000000001</v>
      </c>
      <c r="E19">
        <v>2.1173000000000001E-2</v>
      </c>
      <c r="F19">
        <v>2.0407730000000002</v>
      </c>
      <c r="H19">
        <v>3.5729999999999998E-2</v>
      </c>
    </row>
    <row r="21" spans="1:8" x14ac:dyDescent="0.4">
      <c r="A21" t="s">
        <v>8</v>
      </c>
    </row>
    <row r="22" spans="1:8" x14ac:dyDescent="0.4">
      <c r="A22" t="s">
        <v>0</v>
      </c>
      <c r="B22" t="s">
        <v>10</v>
      </c>
      <c r="C22" t="s">
        <v>6</v>
      </c>
      <c r="D22" t="s">
        <v>1</v>
      </c>
      <c r="E22" t="s">
        <v>3</v>
      </c>
      <c r="F22" t="s">
        <v>4</v>
      </c>
      <c r="H22" t="s">
        <v>5</v>
      </c>
    </row>
    <row r="23" spans="1:8" x14ac:dyDescent="0.4">
      <c r="A23">
        <v>16</v>
      </c>
      <c r="B23">
        <f>A23*A23</f>
        <v>256</v>
      </c>
      <c r="C23">
        <v>1.4E-5</v>
      </c>
      <c r="D23">
        <v>0.117405</v>
      </c>
      <c r="E23">
        <v>4.0000000000000003E-5</v>
      </c>
      <c r="F23">
        <v>0.10178</v>
      </c>
      <c r="H23">
        <v>2.3E-5</v>
      </c>
    </row>
    <row r="24" spans="1:8" x14ac:dyDescent="0.4">
      <c r="A24">
        <v>64</v>
      </c>
      <c r="B24">
        <f t="shared" ref="B24:B29" si="2">A24*A24</f>
        <v>4096</v>
      </c>
      <c r="C24">
        <v>1.03E-4</v>
      </c>
      <c r="D24">
        <v>0.117837</v>
      </c>
      <c r="E24">
        <v>5.8E-5</v>
      </c>
      <c r="F24">
        <v>0.100756</v>
      </c>
      <c r="H24">
        <v>2.8E-5</v>
      </c>
    </row>
    <row r="25" spans="1:8" x14ac:dyDescent="0.4">
      <c r="A25">
        <v>200</v>
      </c>
      <c r="B25">
        <f t="shared" si="2"/>
        <v>40000</v>
      </c>
      <c r="C25">
        <v>8.5499999999999997E-4</v>
      </c>
      <c r="D25">
        <v>0.116941</v>
      </c>
      <c r="E25">
        <v>9.2999999999999997E-5</v>
      </c>
      <c r="F25">
        <v>0.10119599999999999</v>
      </c>
      <c r="H25">
        <v>1.85E-4</v>
      </c>
    </row>
    <row r="26" spans="1:8" x14ac:dyDescent="0.4">
      <c r="A26">
        <v>500</v>
      </c>
      <c r="B26">
        <f t="shared" si="2"/>
        <v>250000</v>
      </c>
      <c r="C26">
        <v>5.2440000000000004E-3</v>
      </c>
      <c r="D26">
        <v>0.117837</v>
      </c>
      <c r="E26">
        <v>3.3100000000000002E-4</v>
      </c>
      <c r="F26">
        <v>0.103023</v>
      </c>
      <c r="H26">
        <v>9.3999999999999997E-4</v>
      </c>
    </row>
    <row r="27" spans="1:8" x14ac:dyDescent="0.4">
      <c r="A27">
        <v>1000</v>
      </c>
      <c r="B27">
        <f t="shared" si="2"/>
        <v>1000000</v>
      </c>
      <c r="C27">
        <v>2.0438000000000001E-2</v>
      </c>
      <c r="D27">
        <v>0.11718099999999999</v>
      </c>
      <c r="E27">
        <v>1.0300000000000001E-3</v>
      </c>
      <c r="F27">
        <v>0.11135100000000001</v>
      </c>
      <c r="H27">
        <v>2.467E-3</v>
      </c>
    </row>
    <row r="28" spans="1:8" x14ac:dyDescent="0.4">
      <c r="A28">
        <v>2000</v>
      </c>
      <c r="B28">
        <f t="shared" si="2"/>
        <v>4000000</v>
      </c>
      <c r="C28">
        <v>7.9559000000000005E-2</v>
      </c>
      <c r="D28">
        <v>0.118131</v>
      </c>
      <c r="E28">
        <v>3.5349999999999999E-3</v>
      </c>
      <c r="F28">
        <v>0.16833600000000001</v>
      </c>
      <c r="H28">
        <v>6.3920000000000001E-3</v>
      </c>
    </row>
    <row r="29" spans="1:8" x14ac:dyDescent="0.4">
      <c r="A29">
        <v>5000</v>
      </c>
      <c r="B29">
        <f t="shared" si="2"/>
        <v>25000000</v>
      </c>
      <c r="C29">
        <v>0.49493399999999999</v>
      </c>
      <c r="D29">
        <v>0.118447</v>
      </c>
      <c r="E29">
        <v>2.1156000000000001E-2</v>
      </c>
      <c r="F29">
        <v>0.94837199999999999</v>
      </c>
      <c r="H29">
        <v>3.5791999999999997E-2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Storti</dc:creator>
  <cp:lastModifiedBy>Storti, Nicholas</cp:lastModifiedBy>
  <dcterms:created xsi:type="dcterms:W3CDTF">2015-06-05T18:17:20Z</dcterms:created>
  <dcterms:modified xsi:type="dcterms:W3CDTF">2026-08-13T02:50:33Z</dcterms:modified>
</cp:coreProperties>
</file>